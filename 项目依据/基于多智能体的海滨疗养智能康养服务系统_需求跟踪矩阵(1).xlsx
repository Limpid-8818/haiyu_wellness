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24" windowHeight="22020" tabRatio="600" firstSheet="0" activeTab="1" autoFilterDateGrouping="1"/>
  </bookViews>
  <sheets>
    <sheet name="需求跟踪矩阵封面" sheetId="1" state="visible" r:id="rId1"/>
    <sheet name="变更履历" sheetId="2" state="visible" r:id="rId2"/>
    <sheet name="设计用RTM" sheetId="3" state="visible" r:id="rId3"/>
    <sheet name="图1" sheetId="4" state="visible" r:id="rId4"/>
    <sheet name="图2" sheetId="5" state="visible" r:id="rId5"/>
    <sheet name="图3" sheetId="6" state="visible" r:id="rId6"/>
    <sheet name="图4" sheetId="7" state="visible" r:id="rId7"/>
    <sheet name="图5" sheetId="8" state="visible" r:id="rId8"/>
    <sheet name="图6" sheetId="9" state="visible" r:id="rId9"/>
    <sheet name="图7" sheetId="10" state="visible" r:id="rId10"/>
    <sheet name="图8" sheetId="11" state="visible" r:id="rId11"/>
    <sheet name="图9" sheetId="12" state="visible" r:id="rId12"/>
    <sheet name="图10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35">
    <font>
      <name val="Carlito"/>
      <charset val="134"/>
      <sz val="11"/>
    </font>
    <font>
      <name val="PingFang SC"/>
      <charset val="134"/>
      <color rgb="FF000000"/>
      <sz val="10"/>
    </font>
    <font>
      <name val="PingFang SC"/>
      <charset val="134"/>
      <b val="1"/>
      <color rgb="FF000000"/>
      <sz val="16"/>
    </font>
    <font>
      <name val="PingFang SC"/>
      <charset val="134"/>
      <b val="1"/>
      <color rgb="FF000000"/>
      <sz val="11"/>
    </font>
    <font>
      <name val="PingFang SC"/>
      <charset val="134"/>
      <b val="1"/>
      <color rgb="FF000000"/>
      <sz val="10"/>
    </font>
    <font>
      <name val="PingFang SC"/>
      <charset val="134"/>
      <b val="1"/>
      <color rgb="FF000000"/>
      <sz val="24"/>
    </font>
    <font>
      <name val="PingFang SC"/>
      <charset val="134"/>
      <color rgb="FF000000"/>
      <sz val="28"/>
    </font>
    <font>
      <name val="PingFang SC"/>
      <charset val="134"/>
      <color rgb="FF000000"/>
      <sz val="18"/>
    </font>
    <font>
      <name val="PingFang SC"/>
      <charset val="134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PingFang SC"/>
      <sz val="10"/>
    </font>
    <font>
      <name val="PingFang SC"/>
      <b val="1"/>
      <sz val="10"/>
    </font>
    <font>
      <name val="PingFang SC"/>
      <b val="1"/>
      <sz val="14"/>
    </font>
    <font>
      <name val="PingFang SC"/>
      <color rgb="00C00000"/>
      <sz val="10"/>
    </font>
    <font>
      <name val="PingFang SC"/>
      <b val="1"/>
      <sz val="11"/>
    </font>
    <font>
      <name val="PingFang SC"/>
      <sz val="11"/>
    </font>
  </fonts>
  <fills count="34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4F81BD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0">
    <xf numFmtId="0" fontId="9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4" borderId="6" applyAlignment="1">
      <alignment vertical="center"/>
    </xf>
    <xf numFmtId="0" fontId="19" fillId="5" borderId="7" applyAlignment="1">
      <alignment vertical="center"/>
    </xf>
    <xf numFmtId="0" fontId="20" fillId="5" borderId="6" applyAlignment="1">
      <alignment vertical="center"/>
    </xf>
    <xf numFmtId="0" fontId="21" fillId="6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/>
  </cellStyleXfs>
  <cellXfs count="37">
    <xf numFmtId="0" fontId="0" fillId="0" borderId="0" pivotButton="0" quotePrefix="0" xfId="49"/>
    <xf numFmtId="0" fontId="1" fillId="0" borderId="0" applyAlignment="1" pivotButton="0" quotePrefix="0" xfId="49">
      <alignment vertical="center" wrapText="1"/>
    </xf>
    <xf numFmtId="0" fontId="2" fillId="0" borderId="0" applyAlignment="1" pivotButton="0" quotePrefix="0" xfId="49">
      <alignment horizontal="center" vertical="center" wrapText="1"/>
    </xf>
    <xf numFmtId="0" fontId="3" fillId="0" borderId="0" applyAlignment="1" pivotButton="0" quotePrefix="0" xfId="49">
      <alignment vertical="center" wrapText="1"/>
    </xf>
    <xf numFmtId="0" fontId="4" fillId="2" borderId="1" applyAlignment="1" pivotButton="0" quotePrefix="0" xfId="49">
      <alignment horizontal="center" vertical="center" wrapText="1"/>
    </xf>
    <xf numFmtId="0" fontId="1" fillId="0" borderId="2" applyAlignment="1" pivotButton="0" quotePrefix="0" xfId="49">
      <alignment horizontal="center" vertical="center" wrapText="1"/>
    </xf>
    <xf numFmtId="0" fontId="1" fillId="0" borderId="2" applyAlignment="1" pivotButton="0" quotePrefix="0" xfId="49">
      <alignment horizontal="left" vertical="center" wrapText="1"/>
    </xf>
    <xf numFmtId="0" fontId="1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49">
      <alignment horizontal="left" vertical="center" wrapText="1"/>
    </xf>
    <xf numFmtId="164" fontId="1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49">
      <alignment vertical="center" wrapText="1"/>
    </xf>
    <xf numFmtId="1" fontId="1" fillId="0" borderId="1" applyAlignment="1" pivotButton="0" quotePrefix="0" xfId="49">
      <alignment horizontal="center" vertical="center" wrapText="1"/>
    </xf>
    <xf numFmtId="165" fontId="1" fillId="0" borderId="1" applyAlignment="1" pivotButton="0" quotePrefix="0" xfId="49">
      <alignment horizontal="center" vertical="center" wrapText="1"/>
    </xf>
    <xf numFmtId="1" fontId="4" fillId="2" borderId="1" applyAlignment="1" pivotButton="0" quotePrefix="0" xfId="49">
      <alignment horizontal="center" vertical="center" wrapText="1"/>
    </xf>
    <xf numFmtId="165" fontId="4" fillId="2" borderId="1" applyAlignment="1" pivotButton="0" quotePrefix="0" xfId="49">
      <alignment horizontal="center" vertical="center" wrapText="1"/>
    </xf>
    <xf numFmtId="0" fontId="5" fillId="0" borderId="0" applyAlignment="1" pivotButton="0" quotePrefix="0" xfId="49">
      <alignment horizontal="center" vertical="center" wrapText="1"/>
    </xf>
    <xf numFmtId="0" fontId="6" fillId="0" borderId="0" applyAlignment="1" pivotButton="0" quotePrefix="0" xfId="49">
      <alignment horizontal="center" vertical="center" wrapText="1"/>
    </xf>
    <xf numFmtId="0" fontId="7" fillId="0" borderId="0" applyAlignment="1" pivotButton="0" quotePrefix="0" xfId="49">
      <alignment horizontal="center" vertical="center" wrapText="1"/>
    </xf>
    <xf numFmtId="0" fontId="8" fillId="0" borderId="0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164" fontId="1" fillId="0" borderId="1" applyAlignment="1" pivotButton="0" quotePrefix="0" xfId="49">
      <alignment horizontal="center" vertical="center" wrapText="1"/>
    </xf>
    <xf numFmtId="165" fontId="1" fillId="0" borderId="1" applyAlignment="1" pivotButton="0" quotePrefix="0" xfId="49">
      <alignment horizontal="center" vertical="center" wrapText="1"/>
    </xf>
    <xf numFmtId="165" fontId="4" fillId="2" borderId="1" applyAlignment="1" pivotButton="0" quotePrefix="0" xfId="49">
      <alignment horizontal="center" vertical="center" wrapText="1"/>
    </xf>
    <xf numFmtId="0" fontId="0" fillId="0" borderId="17" pivotButton="0" quotePrefix="0" xfId="0"/>
    <xf numFmtId="0" fontId="29" fillId="0" borderId="2" applyAlignment="1" pivotButton="0" quotePrefix="0" xfId="49">
      <alignment horizontal="center" vertical="center" wrapText="1"/>
    </xf>
    <xf numFmtId="0" fontId="30" fillId="0" borderId="2" applyAlignment="1" pivotButton="0" quotePrefix="0" xfId="49">
      <alignment horizontal="left" vertical="top" wrapText="1"/>
    </xf>
    <xf numFmtId="0" fontId="29" fillId="0" borderId="2" applyAlignment="1" pivotButton="0" quotePrefix="0" xfId="49">
      <alignment horizontal="left" vertical="top" wrapText="1"/>
    </xf>
    <xf numFmtId="0" fontId="29" fillId="0" borderId="2" applyAlignment="1" pivotButton="0" quotePrefix="0" xfId="0">
      <alignment horizontal="left" vertical="top" wrapText="1"/>
    </xf>
    <xf numFmtId="0" fontId="29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left" vertical="top" wrapText="1"/>
    </xf>
    <xf numFmtId="0" fontId="29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28" sqref="A28:H28"/>
    </sheetView>
  </sheetViews>
  <sheetFormatPr baseColWidth="8" defaultColWidth="9" defaultRowHeight="16.8"/>
  <cols>
    <col width="11" customWidth="1" style="19" min="1" max="1"/>
    <col width="13" customWidth="1" style="19" min="2" max="2"/>
    <col width="11" customWidth="1" style="19" min="3" max="3"/>
    <col width="12" customWidth="1" style="19" min="4" max="4"/>
    <col width="11" customWidth="1" style="19" min="5" max="5"/>
    <col width="13" customWidth="1" style="19" min="6" max="6"/>
    <col width="14" customWidth="1" style="19" min="7" max="7"/>
    <col width="17" customWidth="1" style="19" min="8" max="8"/>
  </cols>
  <sheetData>
    <row r="1" ht="17" customHeight="1" s="19">
      <c r="A1" s="1" t="n"/>
      <c r="B1" s="1" t="n"/>
      <c r="C1" s="1" t="n"/>
      <c r="D1" s="1" t="n"/>
      <c r="E1" s="1" t="n"/>
      <c r="F1" s="1" t="n"/>
      <c r="G1" s="1" t="n"/>
      <c r="H1" s="1" t="n"/>
    </row>
    <row r="2" ht="17" customHeight="1" s="19">
      <c r="A2" s="1" t="n"/>
      <c r="B2" s="1" t="n"/>
      <c r="C2" s="1" t="n"/>
      <c r="D2" s="1" t="n"/>
      <c r="E2" s="1" t="n"/>
      <c r="F2" s="1" t="n"/>
      <c r="G2" s="1" t="n"/>
      <c r="H2" s="1" t="n"/>
    </row>
    <row r="3" ht="17" customHeight="1" s="19">
      <c r="A3" s="1" t="inlineStr">
        <is>
          <t>密级：</t>
        </is>
      </c>
      <c r="B3" s="1" t="inlineStr">
        <is>
          <t>待确认</t>
        </is>
      </c>
      <c r="C3" s="1" t="n"/>
      <c r="D3" s="1" t="n"/>
      <c r="E3" s="1" t="n"/>
      <c r="F3" s="1" t="n"/>
      <c r="G3" s="1" t="n"/>
      <c r="H3" s="1" t="n"/>
    </row>
    <row r="4" ht="17" customHeight="1" s="19">
      <c r="A4" s="1" t="n"/>
      <c r="B4" s="1" t="n"/>
      <c r="C4" s="1" t="n"/>
      <c r="D4" s="1" t="n"/>
      <c r="E4" s="1" t="n"/>
      <c r="F4" s="1" t="n"/>
      <c r="G4" s="1" t="n"/>
      <c r="H4" s="1" t="inlineStr">
        <is>
          <t>第 1.1 版</t>
        </is>
      </c>
    </row>
    <row r="5" ht="17" customHeight="1" s="19">
      <c r="A5" s="1" t="inlineStr">
        <is>
          <t>分册名称：无</t>
        </is>
      </c>
      <c r="F5" s="1" t="n"/>
      <c r="G5" s="1" t="inlineStr">
        <is>
          <t>第 1 册 / 共 1 册</t>
        </is>
      </c>
    </row>
    <row r="6" ht="17" customHeight="1" s="19">
      <c r="A6" s="1" t="n"/>
      <c r="B6" s="1" t="n"/>
      <c r="C6" s="1" t="n"/>
      <c r="D6" s="1" t="n"/>
      <c r="E6" s="1" t="n"/>
      <c r="F6" s="1" t="n"/>
      <c r="G6" s="1" t="n"/>
      <c r="H6" s="1" t="n"/>
    </row>
    <row r="7" ht="17" customHeight="1" s="19">
      <c r="A7" s="1" t="n"/>
      <c r="B7" s="1" t="n"/>
      <c r="C7" s="1" t="n"/>
      <c r="D7" s="1" t="n"/>
      <c r="E7" s="1" t="n"/>
      <c r="F7" s="1" t="n"/>
      <c r="G7" s="1" t="n"/>
      <c r="H7" s="1" t="n"/>
    </row>
    <row r="8" ht="17" customHeight="1" s="19">
      <c r="A8" s="1" t="n"/>
      <c r="B8" s="1" t="n"/>
      <c r="C8" s="1" t="n"/>
      <c r="D8" s="1" t="n"/>
      <c r="E8" s="1" t="n"/>
      <c r="F8" s="1" t="n"/>
      <c r="G8" s="1" t="n"/>
      <c r="H8" s="1" t="n"/>
    </row>
    <row r="9" ht="17" customHeight="1" s="19">
      <c r="A9" s="1" t="n"/>
      <c r="B9" s="1" t="n"/>
      <c r="C9" s="1" t="n"/>
      <c r="D9" s="1" t="n"/>
      <c r="E9" s="1" t="n"/>
      <c r="F9" s="1" t="n"/>
      <c r="G9" s="1" t="n"/>
      <c r="H9" s="1" t="n"/>
    </row>
    <row r="10" ht="17" customHeight="1" s="19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17" customHeight="1" s="19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17" customHeight="1" s="19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78" customHeight="1" s="19">
      <c r="A13" s="15" t="inlineStr">
        <is>
          <t>基于多智能体的海滨疗养
智能康养服务系统</t>
        </is>
      </c>
    </row>
    <row r="14" ht="17" customHeight="1" s="19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48" customHeight="1" s="19">
      <c r="A15" s="16" t="inlineStr">
        <is>
          <t>需求跟踪矩阵</t>
        </is>
      </c>
    </row>
    <row r="16" ht="17" customHeight="1" s="19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7" customHeight="1" s="19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7" customHeight="1" s="19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17" customHeight="1" s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32" customHeight="1" s="19">
      <c r="A20" s="17" t="inlineStr">
        <is>
          <t>实习实训中心</t>
        </is>
      </c>
    </row>
    <row r="21" ht="17" customHeight="1" s="19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17" customHeight="1" s="19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25" customHeight="1" s="19">
      <c r="A23" s="18" t="inlineStr">
        <is>
          <t>项目组长：高颢宸</t>
        </is>
      </c>
    </row>
    <row r="24" ht="25" customHeight="1" s="19">
      <c r="A24" s="18" t="inlineStr">
        <is>
          <t>项目组员：郭一甫、张文哲、沈煜凯、于明洋</t>
        </is>
      </c>
    </row>
    <row r="25" ht="17" customHeight="1" s="19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7" customHeight="1" s="19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23" customHeight="1" s="19">
      <c r="A27" s="1" t="inlineStr">
        <is>
          <t>版本说明：V1.1 依据9-8需求评审意见将RTM细化至控件级并预挂原型图编号（2026-09-11）</t>
        </is>
      </c>
    </row>
    <row r="28" ht="23" customHeight="1" s="19">
      <c r="A28" s="1" t="n"/>
    </row>
    <row r="29" ht="23" customHeight="1" s="19">
      <c r="A29" s="1" t="n"/>
    </row>
    <row r="30" ht="23" customHeight="1" s="19">
      <c r="A30" s="1" t="n"/>
    </row>
    <row r="31" ht="23" customHeight="1" s="19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23" customHeight="1" s="19">
      <c r="A32" s="1" t="n"/>
    </row>
    <row r="33" ht="17" customHeight="1" s="19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7" customHeight="1" s="19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7" customHeight="1" s="19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29" customHeight="1" s="19">
      <c r="A36" s="10" t="inlineStr">
        <is>
          <t>总页数</t>
        </is>
      </c>
      <c r="B36" s="10" t="inlineStr">
        <is>
          <t>待排版</t>
        </is>
      </c>
      <c r="C36" s="10" t="inlineStr">
        <is>
          <t>正文</t>
        </is>
      </c>
      <c r="D36" s="10" t="inlineStr">
        <is>
          <t>待排版</t>
        </is>
      </c>
      <c r="E36" s="10" t="inlineStr">
        <is>
          <t>附录</t>
        </is>
      </c>
      <c r="F36" s="10" t="inlineStr">
        <is>
          <t>无</t>
        </is>
      </c>
      <c r="G36" s="10" t="inlineStr">
        <is>
          <t>生效日期</t>
        </is>
      </c>
      <c r="H36" s="10" t="inlineStr">
        <is>
          <t>2026-09-11</t>
        </is>
      </c>
    </row>
    <row r="37" ht="29" customHeight="1" s="19">
      <c r="A37" s="10" t="inlineStr">
        <is>
          <t>编制：</t>
        </is>
      </c>
      <c r="B37" s="10" t="inlineStr">
        <is>
          <t>项目组（待确认）</t>
        </is>
      </c>
      <c r="C37" s="20" t="n"/>
      <c r="D37" s="21" t="n"/>
      <c r="E37" s="10" t="inlineStr">
        <is>
          <t>审批：</t>
        </is>
      </c>
      <c r="F37" s="10" t="inlineStr">
        <is>
          <t>待审批</t>
        </is>
      </c>
      <c r="G37" s="20" t="n"/>
      <c r="H37" s="21" t="n"/>
    </row>
    <row r="38" ht="17" customHeight="1" s="19">
      <c r="A38" s="1" t="n"/>
      <c r="B38" s="1" t="n"/>
      <c r="C38" s="1" t="n"/>
      <c r="D38" s="1" t="n"/>
      <c r="E38" s="1" t="n"/>
      <c r="F38" s="1" t="n"/>
      <c r="G38" s="1" t="n"/>
      <c r="H38" s="1" t="n"/>
    </row>
  </sheetData>
  <mergeCells count="14">
    <mergeCell ref="A30:H30"/>
    <mergeCell ref="B37:D37"/>
    <mergeCell ref="A29:H29"/>
    <mergeCell ref="A15:H15"/>
    <mergeCell ref="A20:H20"/>
    <mergeCell ref="A24:H24"/>
    <mergeCell ref="G5:H5"/>
    <mergeCell ref="A28:H28"/>
    <mergeCell ref="A5:E5"/>
    <mergeCell ref="A13:H13"/>
    <mergeCell ref="A23:H23"/>
    <mergeCell ref="A32:H32"/>
    <mergeCell ref="A27:H27"/>
    <mergeCell ref="F37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tabSelected="1" workbookViewId="0">
      <pane ySplit="2" topLeftCell="A3" activePane="bottomLeft" state="frozen"/>
      <selection activeCell="A1" sqref="A1"/>
      <selection pane="bottomLeft" activeCell="Q3" sqref="Q3"/>
    </sheetView>
  </sheetViews>
  <sheetFormatPr baseColWidth="8" defaultColWidth="9" defaultRowHeight="16.8"/>
  <cols>
    <col width="1.19852941176471" customWidth="1" style="19" min="1" max="1"/>
    <col width="8" customWidth="1" style="19" min="2" max="2"/>
    <col width="14" customWidth="1" style="19" min="3" max="3"/>
    <col width="43" customWidth="1" style="19" min="4" max="4"/>
    <col width="20" customWidth="1" style="19" min="5" max="5"/>
    <col width="14" customWidth="1" style="19" min="6" max="7"/>
    <col width="12" customWidth="1" style="19" min="8" max="12"/>
    <col width="14" customWidth="1" style="19" min="13" max="13"/>
    <col width="19" customWidth="1" style="19" min="14" max="16"/>
  </cols>
  <sheetData>
    <row r="1" ht="32" customHeight="1" s="19">
      <c r="A1" s="1" t="n"/>
      <c r="B1" s="2" t="inlineStr">
        <is>
          <t>变更履历</t>
        </is>
      </c>
    </row>
    <row r="2" ht="40" customHeight="1" s="19">
      <c r="A2" s="1" t="n"/>
      <c r="B2" s="4" t="inlineStr">
        <is>
          <t>序号</t>
        </is>
      </c>
      <c r="C2" s="4" t="inlineStr">
        <is>
          <t>日期</t>
        </is>
      </c>
      <c r="D2" s="4" t="inlineStr">
        <is>
          <t>变更内容</t>
        </is>
      </c>
      <c r="E2" s="4" t="inlineStr">
        <is>
          <t>RTM No.</t>
        </is>
      </c>
      <c r="F2" s="4" t="inlineStr">
        <is>
          <t>需求版本</t>
        </is>
      </c>
      <c r="G2" s="4" t="inlineStr">
        <is>
          <t>变更人</t>
        </is>
      </c>
      <c r="H2" s="4" t="inlineStr">
        <is>
          <t>初始需求个数</t>
        </is>
      </c>
      <c r="I2" s="4" t="inlineStr">
        <is>
          <t>新增需求个数</t>
        </is>
      </c>
      <c r="J2" s="4" t="inlineStr">
        <is>
          <t>删除需求个数</t>
        </is>
      </c>
      <c r="K2" s="4" t="inlineStr">
        <is>
          <t>修改需求个数</t>
        </is>
      </c>
      <c r="L2" s="4" t="inlineStr">
        <is>
          <t>总需求个数</t>
        </is>
      </c>
      <c r="M2" s="4" t="inlineStr">
        <is>
          <t>需求变更比</t>
        </is>
      </c>
      <c r="N2" s="4" t="inlineStr">
        <is>
          <t>对规模的影响</t>
        </is>
      </c>
      <c r="O2" s="4" t="inlineStr">
        <is>
          <t>对工作量的影响</t>
        </is>
      </c>
      <c r="P2" s="4" t="inlineStr">
        <is>
          <t>对进度的影响</t>
        </is>
      </c>
    </row>
    <row r="3" ht="66" customHeight="1" s="19">
      <c r="A3" s="1" t="n"/>
      <c r="B3" s="7" t="n">
        <v>1</v>
      </c>
      <c r="C3" s="22" t="n">
        <v>46273</v>
      </c>
      <c r="D3" s="10" t="inlineStr">
        <is>
          <t>依据系统文档建立初始需求矩阵，并落实模块分工。</t>
        </is>
      </c>
      <c r="E3" s="7" t="inlineStr">
        <is>
          <t>1—67</t>
        </is>
      </c>
      <c r="F3" s="7" t="inlineStr">
        <is>
          <t>V1.0</t>
        </is>
      </c>
      <c r="G3" s="7" t="inlineStr">
        <is>
          <t>项目组</t>
        </is>
      </c>
      <c r="H3" s="11" t="n">
        <v>67</v>
      </c>
      <c r="I3" s="11" t="n">
        <v>0</v>
      </c>
      <c r="J3" s="11" t="n">
        <v>0</v>
      </c>
      <c r="K3" s="11" t="n">
        <v>0</v>
      </c>
      <c r="L3" s="11">
        <f>H3+I3-J3</f>
        <v/>
      </c>
      <c r="M3" s="23">
        <f>IF(H3=0,"不适用",SUM(I3:K3)/H3)</f>
        <v/>
      </c>
      <c r="N3" s="7" t="inlineStr">
        <is>
          <t>建立初始范围</t>
        </is>
      </c>
      <c r="O3" s="7" t="inlineStr">
        <is>
          <t>待估算</t>
        </is>
      </c>
      <c r="P3" s="7" t="inlineStr">
        <is>
          <t>待排期</t>
        </is>
      </c>
    </row>
    <row r="4" ht="29" customHeight="1" s="19">
      <c r="A4" s="1" t="n"/>
      <c r="B4" s="7" t="n">
        <v>2</v>
      </c>
      <c r="C4" s="22" t="n">
        <v>46276</v>
      </c>
      <c r="D4" s="10" t="inlineStr">
        <is>
          <t>依据9-8需求评审意见将RTM细化至控件级并挂接原型图编号（图1-图10），新增全局设计规范类目</t>
        </is>
      </c>
      <c r="E4" s="7" t="inlineStr">
        <is>
          <t>1—109</t>
        </is>
      </c>
      <c r="F4" s="7" t="inlineStr">
        <is>
          <t>V1.1</t>
        </is>
      </c>
      <c r="G4" s="7" t="inlineStr">
        <is>
          <t>项目组</t>
        </is>
      </c>
      <c r="H4" s="11" t="n">
        <v>67</v>
      </c>
      <c r="I4" s="11" t="n">
        <v>42</v>
      </c>
      <c r="J4" s="11" t="n">
        <v>0</v>
      </c>
      <c r="K4" s="11" t="n">
        <v>67</v>
      </c>
      <c r="L4" s="11">
        <f>H4+I4-J4</f>
        <v/>
      </c>
      <c r="M4" s="23">
        <f>IF(H4=0,"不适用",SUM(I4:K4)/H4)</f>
        <v/>
      </c>
      <c r="N4" s="7" t="inlineStr">
        <is>
          <t>设计粒度细化至控件级，规模影响待估算</t>
        </is>
      </c>
      <c r="O4" s="7" t="inlineStr">
        <is>
          <t>待估算</t>
        </is>
      </c>
      <c r="P4" s="7" t="inlineStr">
        <is>
          <t>待排期</t>
        </is>
      </c>
    </row>
    <row r="5" ht="29" customHeight="1" s="19">
      <c r="A5" s="1" t="n"/>
      <c r="B5" s="7" t="n">
        <v>3</v>
      </c>
      <c r="C5" s="22" t="n"/>
      <c r="D5" s="10" t="n"/>
      <c r="E5" s="7" t="n"/>
      <c r="F5" s="7" t="n"/>
      <c r="G5" s="7" t="n"/>
      <c r="H5" s="11">
        <f>IF(D5="","",L4)</f>
        <v/>
      </c>
      <c r="I5" s="11" t="n"/>
      <c r="J5" s="11" t="n"/>
      <c r="K5" s="11" t="n"/>
      <c r="L5" s="11">
        <f>IF(D5="","",H5+I5-J5)</f>
        <v/>
      </c>
      <c r="M5" s="23">
        <f>IF(D5="","",IF(H5=0,"不适用",SUM(I5:K5)/H5))</f>
        <v/>
      </c>
      <c r="N5" s="7" t="n"/>
      <c r="O5" s="7" t="n"/>
      <c r="P5" s="7" t="n"/>
    </row>
    <row r="6" ht="29" customHeight="1" s="19">
      <c r="A6" s="1" t="n"/>
      <c r="B6" s="7" t="n">
        <v>4</v>
      </c>
      <c r="C6" s="22" t="n"/>
      <c r="D6" s="10" t="n"/>
      <c r="E6" s="7" t="n"/>
      <c r="F6" s="7" t="n"/>
      <c r="G6" s="7" t="n"/>
      <c r="H6" s="11">
        <f>IF(D6="","",L5)</f>
        <v/>
      </c>
      <c r="I6" s="11" t="n"/>
      <c r="J6" s="11" t="n"/>
      <c r="K6" s="11" t="n"/>
      <c r="L6" s="11">
        <f>IF(D6="","",H6+I6-J6)</f>
        <v/>
      </c>
      <c r="M6" s="23">
        <f>IF(D6="","",IF(H6=0,"不适用",SUM(I6:K6)/H6))</f>
        <v/>
      </c>
      <c r="N6" s="7" t="n"/>
      <c r="O6" s="7" t="n"/>
      <c r="P6" s="7" t="n"/>
    </row>
    <row r="7" ht="29" customHeight="1" s="19">
      <c r="A7" s="1" t="n"/>
      <c r="B7" s="7" t="n">
        <v>5</v>
      </c>
      <c r="C7" s="22" t="n"/>
      <c r="D7" s="10" t="n"/>
      <c r="E7" s="7" t="n"/>
      <c r="F7" s="7" t="n"/>
      <c r="G7" s="7" t="n"/>
      <c r="H7" s="11">
        <f>IF(D7="","",L6)</f>
        <v/>
      </c>
      <c r="I7" s="11" t="n"/>
      <c r="J7" s="11" t="n"/>
      <c r="K7" s="11" t="n"/>
      <c r="L7" s="11">
        <f>IF(D7="","",H7+I7-J7)</f>
        <v/>
      </c>
      <c r="M7" s="23">
        <f>IF(D7="","",IF(H7=0,"不适用",SUM(I7:K7)/H7))</f>
        <v/>
      </c>
      <c r="N7" s="7" t="n"/>
      <c r="O7" s="7" t="n"/>
      <c r="P7" s="7" t="n"/>
    </row>
    <row r="8" ht="29" customHeight="1" s="19">
      <c r="A8" s="1" t="n"/>
      <c r="B8" s="7" t="n">
        <v>6</v>
      </c>
      <c r="C8" s="22" t="n"/>
      <c r="D8" s="10" t="n"/>
      <c r="E8" s="7" t="n"/>
      <c r="F8" s="7" t="n"/>
      <c r="G8" s="7" t="n"/>
      <c r="H8" s="11">
        <f>IF(D8="","",L7)</f>
        <v/>
      </c>
      <c r="I8" s="11" t="n"/>
      <c r="J8" s="11" t="n"/>
      <c r="K8" s="11" t="n"/>
      <c r="L8" s="11">
        <f>IF(D8="","",H8+I8-J8)</f>
        <v/>
      </c>
      <c r="M8" s="23">
        <f>IF(D8="","",IF(H8=0,"不适用",SUM(I8:K8)/H8))</f>
        <v/>
      </c>
      <c r="N8" s="7" t="n"/>
      <c r="O8" s="7" t="n"/>
      <c r="P8" s="7" t="n"/>
    </row>
    <row r="9" ht="29" customHeight="1" s="19">
      <c r="A9" s="1" t="n"/>
      <c r="B9" s="7" t="n">
        <v>7</v>
      </c>
      <c r="C9" s="22" t="n"/>
      <c r="D9" s="10" t="n"/>
      <c r="E9" s="7" t="n"/>
      <c r="F9" s="7" t="n"/>
      <c r="G9" s="7" t="n"/>
      <c r="H9" s="11">
        <f>IF(D9="","",L8)</f>
        <v/>
      </c>
      <c r="I9" s="11" t="n"/>
      <c r="J9" s="11" t="n"/>
      <c r="K9" s="11" t="n"/>
      <c r="L9" s="11">
        <f>IF(D9="","",H9+I9-J9)</f>
        <v/>
      </c>
      <c r="M9" s="23">
        <f>IF(D9="","",IF(H9=0,"不适用",SUM(I9:K9)/H9))</f>
        <v/>
      </c>
      <c r="N9" s="7" t="n"/>
      <c r="O9" s="7" t="n"/>
      <c r="P9" s="7" t="n"/>
    </row>
    <row r="10" ht="29" customHeight="1" s="19">
      <c r="A10" s="1" t="n"/>
      <c r="B10" s="7" t="n">
        <v>8</v>
      </c>
      <c r="C10" s="22" t="n"/>
      <c r="D10" s="10" t="n"/>
      <c r="E10" s="7" t="n"/>
      <c r="F10" s="7" t="n"/>
      <c r="G10" s="7" t="n"/>
      <c r="H10" s="11">
        <f>IF(D10="","",L9)</f>
        <v/>
      </c>
      <c r="I10" s="11" t="n"/>
      <c r="J10" s="11" t="n"/>
      <c r="K10" s="11" t="n"/>
      <c r="L10" s="11">
        <f>IF(D10="","",H10+I10-J10)</f>
        <v/>
      </c>
      <c r="M10" s="23">
        <f>IF(D10="","",IF(H10=0,"不适用",SUM(I10:K10)/H10))</f>
        <v/>
      </c>
      <c r="N10" s="7" t="n"/>
      <c r="O10" s="7" t="n"/>
      <c r="P10" s="7" t="n"/>
    </row>
    <row r="11" ht="29" customHeight="1" s="19">
      <c r="A11" s="1" t="n"/>
      <c r="B11" s="7" t="n">
        <v>9</v>
      </c>
      <c r="C11" s="22" t="n"/>
      <c r="D11" s="10" t="n"/>
      <c r="E11" s="7" t="n"/>
      <c r="F11" s="7" t="n"/>
      <c r="G11" s="7" t="n"/>
      <c r="H11" s="11">
        <f>IF(D11="","",L10)</f>
        <v/>
      </c>
      <c r="I11" s="11" t="n"/>
      <c r="J11" s="11" t="n"/>
      <c r="K11" s="11" t="n"/>
      <c r="L11" s="11">
        <f>IF(D11="","",H11+I11-J11)</f>
        <v/>
      </c>
      <c r="M11" s="23">
        <f>IF(D11="","",IF(H11=0,"不适用",SUM(I11:K11)/H11))</f>
        <v/>
      </c>
      <c r="N11" s="7" t="n"/>
      <c r="O11" s="7" t="n"/>
      <c r="P11" s="7" t="n"/>
    </row>
    <row r="12" ht="29" customHeight="1" s="19">
      <c r="A12" s="1" t="n"/>
      <c r="B12" s="7" t="n">
        <v>10</v>
      </c>
      <c r="C12" s="22" t="n"/>
      <c r="D12" s="10" t="n"/>
      <c r="E12" s="7" t="n"/>
      <c r="F12" s="7" t="n"/>
      <c r="G12" s="7" t="n"/>
      <c r="H12" s="11">
        <f>IF(D12="","",L11)</f>
        <v/>
      </c>
      <c r="I12" s="11" t="n"/>
      <c r="J12" s="11" t="n"/>
      <c r="K12" s="11" t="n"/>
      <c r="L12" s="11">
        <f>IF(D12="","",H12+I12-J12)</f>
        <v/>
      </c>
      <c r="M12" s="23">
        <f>IF(D12="","",IF(H12=0,"不适用",SUM(I12:K12)/H12))</f>
        <v/>
      </c>
      <c r="N12" s="7" t="n"/>
      <c r="O12" s="7" t="n"/>
      <c r="P12" s="7" t="n"/>
    </row>
    <row r="13" ht="29" customHeight="1" s="19">
      <c r="A13" s="1" t="n"/>
      <c r="B13" s="7" t="n">
        <v>11</v>
      </c>
      <c r="C13" s="22" t="n"/>
      <c r="D13" s="10" t="n"/>
      <c r="E13" s="7" t="n"/>
      <c r="F13" s="7" t="n"/>
      <c r="G13" s="7" t="n"/>
      <c r="H13" s="11">
        <f>IF(D13="","",L12)</f>
        <v/>
      </c>
      <c r="I13" s="11" t="n"/>
      <c r="J13" s="11" t="n"/>
      <c r="K13" s="11" t="n"/>
      <c r="L13" s="11">
        <f>IF(D13="","",H13+I13-J13)</f>
        <v/>
      </c>
      <c r="M13" s="23">
        <f>IF(D13="","",IF(H13=0,"不适用",SUM(I13:K13)/H13))</f>
        <v/>
      </c>
      <c r="N13" s="7" t="n"/>
      <c r="O13" s="7" t="n"/>
      <c r="P13" s="7" t="n"/>
    </row>
    <row r="14" ht="29" customHeight="1" s="19">
      <c r="A14" s="1" t="n"/>
      <c r="B14" s="7" t="n">
        <v>12</v>
      </c>
      <c r="C14" s="22" t="n"/>
      <c r="D14" s="10" t="n"/>
      <c r="E14" s="7" t="n"/>
      <c r="F14" s="7" t="n"/>
      <c r="G14" s="7" t="n"/>
      <c r="H14" s="11">
        <f>IF(D14="","",L13)</f>
        <v/>
      </c>
      <c r="I14" s="11" t="n"/>
      <c r="J14" s="11" t="n"/>
      <c r="K14" s="11" t="n"/>
      <c r="L14" s="11">
        <f>IF(D14="","",H14+I14-J14)</f>
        <v/>
      </c>
      <c r="M14" s="23">
        <f>IF(D14="","",IF(H14=0,"不适用",SUM(I14:K14)/H14))</f>
        <v/>
      </c>
      <c r="N14" s="7" t="n"/>
      <c r="O14" s="7" t="n"/>
      <c r="P14" s="7" t="n"/>
    </row>
    <row r="15" ht="29" customHeight="1" s="19">
      <c r="A15" s="1" t="n"/>
      <c r="B15" s="7" t="n">
        <v>13</v>
      </c>
      <c r="C15" s="22" t="n"/>
      <c r="D15" s="10" t="n"/>
      <c r="E15" s="7" t="n"/>
      <c r="F15" s="7" t="n"/>
      <c r="G15" s="7" t="n"/>
      <c r="H15" s="11">
        <f>IF(D15="","",L14)</f>
        <v/>
      </c>
      <c r="I15" s="11" t="n"/>
      <c r="J15" s="11" t="n"/>
      <c r="K15" s="11" t="n"/>
      <c r="L15" s="11">
        <f>IF(D15="","",H15+I15-J15)</f>
        <v/>
      </c>
      <c r="M15" s="23">
        <f>IF(D15="","",IF(H15=0,"不适用",SUM(I15:K15)/H15))</f>
        <v/>
      </c>
      <c r="N15" s="7" t="n"/>
      <c r="O15" s="7" t="n"/>
      <c r="P15" s="7" t="n"/>
    </row>
    <row r="16" ht="29" customHeight="1" s="19">
      <c r="A16" s="1" t="n"/>
      <c r="B16" s="7" t="n">
        <v>14</v>
      </c>
      <c r="C16" s="22" t="n"/>
      <c r="D16" s="10" t="n"/>
      <c r="E16" s="7" t="n"/>
      <c r="F16" s="7" t="n"/>
      <c r="G16" s="7" t="n"/>
      <c r="H16" s="11">
        <f>IF(D16="","",L15)</f>
        <v/>
      </c>
      <c r="I16" s="11" t="n"/>
      <c r="J16" s="11" t="n"/>
      <c r="K16" s="11" t="n"/>
      <c r="L16" s="11">
        <f>IF(D16="","",H16+I16-J16)</f>
        <v/>
      </c>
      <c r="M16" s="23">
        <f>IF(D16="","",IF(H16=0,"不适用",SUM(I16:K16)/H16))</f>
        <v/>
      </c>
      <c r="N16" s="7" t="n"/>
      <c r="O16" s="7" t="n"/>
      <c r="P16" s="7" t="n"/>
    </row>
    <row r="17" ht="29" customHeight="1" s="19">
      <c r="A17" s="1" t="n"/>
      <c r="B17" s="7" t="n">
        <v>15</v>
      </c>
      <c r="C17" s="22" t="n"/>
      <c r="D17" s="10" t="n"/>
      <c r="E17" s="7" t="n"/>
      <c r="F17" s="7" t="n"/>
      <c r="G17" s="7" t="n"/>
      <c r="H17" s="11">
        <f>IF(D17="","",L16)</f>
        <v/>
      </c>
      <c r="I17" s="11" t="n"/>
      <c r="J17" s="11" t="n"/>
      <c r="K17" s="11" t="n"/>
      <c r="L17" s="11">
        <f>IF(D17="","",H17+I17-J17)</f>
        <v/>
      </c>
      <c r="M17" s="23">
        <f>IF(D17="","",IF(H17=0,"不适用",SUM(I17:K17)/H17))</f>
        <v/>
      </c>
      <c r="N17" s="7" t="n"/>
      <c r="O17" s="7" t="n"/>
      <c r="P17" s="7" t="n"/>
    </row>
    <row r="18" ht="29" customHeight="1" s="19">
      <c r="A18" s="1" t="n"/>
      <c r="B18" s="7" t="n">
        <v>16</v>
      </c>
      <c r="C18" s="22" t="n"/>
      <c r="D18" s="10" t="n"/>
      <c r="E18" s="7" t="n"/>
      <c r="F18" s="7" t="n"/>
      <c r="G18" s="7" t="n"/>
      <c r="H18" s="11">
        <f>IF(D18="","",L17)</f>
        <v/>
      </c>
      <c r="I18" s="11" t="n"/>
      <c r="J18" s="11" t="n"/>
      <c r="K18" s="11" t="n"/>
      <c r="L18" s="11">
        <f>IF(D18="","",H18+I18-J18)</f>
        <v/>
      </c>
      <c r="M18" s="23">
        <f>IF(D18="","",IF(H18=0,"不适用",SUM(I18:K18)/H18))</f>
        <v/>
      </c>
      <c r="N18" s="7" t="n"/>
      <c r="O18" s="7" t="n"/>
      <c r="P18" s="7" t="n"/>
    </row>
    <row r="19" ht="29" customHeight="1" s="19">
      <c r="A19" s="1" t="n"/>
      <c r="B19" s="7" t="n">
        <v>17</v>
      </c>
      <c r="C19" s="22" t="n"/>
      <c r="D19" s="10" t="n"/>
      <c r="E19" s="7" t="n"/>
      <c r="F19" s="7" t="n"/>
      <c r="G19" s="7" t="n"/>
      <c r="H19" s="11">
        <f>IF(D19="","",L18)</f>
        <v/>
      </c>
      <c r="I19" s="11" t="n"/>
      <c r="J19" s="11" t="n"/>
      <c r="K19" s="11" t="n"/>
      <c r="L19" s="11">
        <f>IF(D19="","",H19+I19-J19)</f>
        <v/>
      </c>
      <c r="M19" s="23">
        <f>IF(D19="","",IF(H19=0,"不适用",SUM(I19:K19)/H19))</f>
        <v/>
      </c>
      <c r="N19" s="7" t="n"/>
      <c r="O19" s="7" t="n"/>
      <c r="P19" s="7" t="n"/>
    </row>
    <row r="20" ht="29" customHeight="1" s="19">
      <c r="A20" s="1" t="n"/>
      <c r="B20" s="7" t="n">
        <v>18</v>
      </c>
      <c r="C20" s="22" t="n"/>
      <c r="D20" s="10" t="n"/>
      <c r="E20" s="7" t="n"/>
      <c r="F20" s="7" t="n"/>
      <c r="G20" s="7" t="n"/>
      <c r="H20" s="11">
        <f>IF(D20="","",L19)</f>
        <v/>
      </c>
      <c r="I20" s="11" t="n"/>
      <c r="J20" s="11" t="n"/>
      <c r="K20" s="11" t="n"/>
      <c r="L20" s="11">
        <f>IF(D20="","",H20+I20-J20)</f>
        <v/>
      </c>
      <c r="M20" s="23">
        <f>IF(D20="","",IF(H20=0,"不适用",SUM(I20:K20)/H20))</f>
        <v/>
      </c>
      <c r="N20" s="7" t="n"/>
      <c r="O20" s="7" t="n"/>
      <c r="P20" s="7" t="n"/>
    </row>
    <row r="21" ht="29" customHeight="1" s="19">
      <c r="A21" s="1" t="n"/>
      <c r="B21" s="7" t="n">
        <v>19</v>
      </c>
      <c r="C21" s="22" t="n"/>
      <c r="D21" s="10" t="n"/>
      <c r="E21" s="7" t="n"/>
      <c r="F21" s="7" t="n"/>
      <c r="G21" s="7" t="n"/>
      <c r="H21" s="11">
        <f>IF(D21="","",L20)</f>
        <v/>
      </c>
      <c r="I21" s="11" t="n"/>
      <c r="J21" s="11" t="n"/>
      <c r="K21" s="11" t="n"/>
      <c r="L21" s="11">
        <f>IF(D21="","",H21+I21-J21)</f>
        <v/>
      </c>
      <c r="M21" s="23">
        <f>IF(D21="","",IF(H21=0,"不适用",SUM(I21:K21)/H21))</f>
        <v/>
      </c>
      <c r="N21" s="7" t="n"/>
      <c r="O21" s="7" t="n"/>
      <c r="P21" s="7" t="n"/>
    </row>
    <row r="22" ht="29" customHeight="1" s="19">
      <c r="A22" s="1" t="n"/>
      <c r="B22" s="7" t="n">
        <v>20</v>
      </c>
      <c r="C22" s="22" t="n"/>
      <c r="D22" s="10" t="n"/>
      <c r="E22" s="7" t="n"/>
      <c r="F22" s="7" t="n"/>
      <c r="G22" s="7" t="n"/>
      <c r="H22" s="11">
        <f>IF(D22="","",L21)</f>
        <v/>
      </c>
      <c r="I22" s="11" t="n"/>
      <c r="J22" s="11" t="n"/>
      <c r="K22" s="11" t="n"/>
      <c r="L22" s="11">
        <f>IF(D22="","",H22+I22-J22)</f>
        <v/>
      </c>
      <c r="M22" s="23">
        <f>IF(D22="","",IF(H22=0,"不适用",SUM(I22:K22)/H22))</f>
        <v/>
      </c>
      <c r="N22" s="7" t="n"/>
      <c r="O22" s="7" t="n"/>
      <c r="P22" s="7" t="n"/>
    </row>
    <row r="23" ht="28" customHeight="1" s="19">
      <c r="A23" s="1" t="n"/>
      <c r="B23" s="4" t="inlineStr">
        <is>
          <t>SUM</t>
        </is>
      </c>
      <c r="C23" s="4" t="n"/>
      <c r="D23" s="4" t="n"/>
      <c r="E23" s="4" t="n"/>
      <c r="F23" s="4" t="n"/>
      <c r="G23" s="4" t="n"/>
      <c r="H23" s="13" t="n">
        <v>67</v>
      </c>
      <c r="I23" s="13">
        <f>SUM(I3:I22)</f>
        <v/>
      </c>
      <c r="J23" s="13">
        <f>SUM(J3:J22)</f>
        <v/>
      </c>
      <c r="K23" s="13">
        <f>SUM(K3:K22)</f>
        <v/>
      </c>
      <c r="L23" s="13">
        <f>H23+I23-J23</f>
        <v/>
      </c>
      <c r="M23" s="24">
        <f>IF(H23=0,"不适用",SUM(I23:K23)/H23)</f>
        <v/>
      </c>
      <c r="N23" s="4" t="n"/>
      <c r="O23" s="4" t="n"/>
      <c r="P23" s="4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26" customHeight="1" s="19">
      <c r="A25" s="1" t="n"/>
      <c r="B25" s="1" t="n"/>
    </row>
    <row r="26" ht="26" customHeight="1" s="19">
      <c r="A26" s="1" t="n"/>
      <c r="B26" s="1" t="n"/>
    </row>
    <row r="27" ht="26" customHeight="1" s="19">
      <c r="A27" s="1" t="n"/>
      <c r="B27" s="1" t="n"/>
    </row>
  </sheetData>
  <mergeCells count="4">
    <mergeCell ref="B26:P26"/>
    <mergeCell ref="B25:P25"/>
    <mergeCell ref="B1:P1"/>
    <mergeCell ref="B27:P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N6" sqref="N6"/>
    </sheetView>
  </sheetViews>
  <sheetFormatPr baseColWidth="8" defaultColWidth="9" defaultRowHeight="16.8"/>
  <cols>
    <col width="1.19852941176471" customWidth="1" style="19" min="1" max="1"/>
    <col width="8" customWidth="1" style="19" min="2" max="2"/>
    <col width="20" customWidth="1" style="19" min="3" max="3"/>
    <col width="22" customWidth="1" style="19" min="4" max="4"/>
    <col width="28" customWidth="1" style="19" min="5" max="5"/>
    <col width="88" customWidth="1" style="19" min="6" max="6"/>
    <col width="9" customWidth="1" style="19" min="7" max="9"/>
    <col width="12" customWidth="1" style="19" min="10" max="11"/>
  </cols>
  <sheetData>
    <row r="1" ht="32" customHeight="1" s="19">
      <c r="A1" s="1" t="n"/>
      <c r="B1" s="2" t="inlineStr">
        <is>
          <t>需求跟踪矩阵（RTM）</t>
        </is>
      </c>
    </row>
    <row r="2" ht="27" customHeight="1" s="19">
      <c r="A2" s="1" t="n"/>
      <c r="B2" s="3" t="inlineStr">
        <is>
          <t>项目名称：基于多智能体的海滨疗养智能康养服务系统</t>
        </is>
      </c>
      <c r="G2" s="3" t="inlineStr">
        <is>
          <t>PM：高颢宸</t>
        </is>
      </c>
    </row>
    <row r="3" ht="27" customHeight="1" s="19">
      <c r="A3" s="1" t="n"/>
      <c r="B3" s="1" t="inlineStr">
        <is>
          <t>担当：高颢宸、郭一甫、张文哲、沈煜凯、于明洋。</t>
        </is>
      </c>
    </row>
    <row r="4" ht="23" customHeight="1" s="19">
      <c r="A4" s="1" t="n"/>
      <c r="B4" s="4" t="inlineStr">
        <is>
          <t>No.</t>
        </is>
      </c>
      <c r="C4" s="4" t="inlineStr">
        <is>
          <t>大分类</t>
        </is>
      </c>
      <c r="D4" s="4" t="inlineStr">
        <is>
          <t>中分类</t>
        </is>
      </c>
      <c r="E4" s="4" t="inlineStr">
        <is>
          <t>小分类</t>
        </is>
      </c>
      <c r="F4" s="4" t="inlineStr">
        <is>
          <t>详细说明</t>
        </is>
      </c>
      <c r="G4" s="4" t="inlineStr">
        <is>
          <t>跟踪状态</t>
        </is>
      </c>
      <c r="H4" s="20" t="n"/>
      <c r="I4" s="21" t="n"/>
      <c r="J4" s="4" t="inlineStr">
        <is>
          <t>担当者</t>
        </is>
      </c>
      <c r="K4" s="4" t="inlineStr">
        <is>
          <t>责任者</t>
        </is>
      </c>
    </row>
    <row r="5" ht="23" customHeight="1" s="19">
      <c r="A5" s="1" t="n"/>
      <c r="B5" s="25" t="n"/>
      <c r="C5" s="4" t="inlineStr">
        <is>
          <t>（模块）</t>
        </is>
      </c>
      <c r="D5" s="4" t="inlineStr">
        <is>
          <t>（子模块）</t>
        </is>
      </c>
      <c r="E5" s="4" t="inlineStr">
        <is>
          <t>（功能点）</t>
        </is>
      </c>
      <c r="F5" s="25" t="n"/>
      <c r="G5" s="4" t="inlineStr">
        <is>
          <t>PD</t>
        </is>
      </c>
      <c r="H5" s="4" t="inlineStr">
        <is>
          <t>COD</t>
        </is>
      </c>
      <c r="I5" s="4" t="inlineStr">
        <is>
          <t>UT</t>
        </is>
      </c>
      <c r="J5" s="25" t="n"/>
      <c r="K5" s="25" t="n"/>
    </row>
    <row r="6" ht="47.5" customHeight="1" s="19">
      <c r="A6" s="1" t="n"/>
      <c r="B6" s="26" t="n">
        <v>1</v>
      </c>
      <c r="C6" s="27" t="inlineStr">
        <is>
          <t>全局设计规范</t>
        </is>
      </c>
      <c r="D6" s="28" t="inlineStr">
        <is>
          <t>产品形态</t>
        </is>
      </c>
      <c r="E6" s="28" t="inlineStr">
        <is>
          <t>客人端与机构端双端</t>
        </is>
      </c>
      <c r="F6" s="28" t="inlineStr">
        <is>
          <t>参照图1～图10整体布局：客人端为对话驱动的康养服务界面（图1～图8），机构端为管理后台（图9～图10）。动作：两端分别登录，机构端仅对医护/管理员/服务人员开放，客人账号不可访问机构端功能。来源：4.1、5.2</t>
        </is>
      </c>
      <c r="G6" s="26" t="inlineStr">
        <is>
          <t>×</t>
        </is>
      </c>
      <c r="H6" s="26" t="inlineStr">
        <is>
          <t>×</t>
        </is>
      </c>
      <c r="I6" s="26" t="inlineStr">
        <is>
          <t>×</t>
        </is>
      </c>
      <c r="J6" s="26" t="inlineStr">
        <is>
          <t>高颢宸</t>
        </is>
      </c>
      <c r="K6" s="26" t="inlineStr">
        <is>
          <t>高颢宸</t>
        </is>
      </c>
    </row>
    <row r="7" ht="62" customHeight="1" s="19">
      <c r="A7" s="1" t="n"/>
      <c r="B7" s="26" t="n">
        <v>2</v>
      </c>
      <c r="C7" s="28" t="n"/>
      <c r="D7" s="28" t="inlineStr">
        <is>
          <t>视觉规范</t>
        </is>
      </c>
      <c r="E7" s="28" t="inlineStr">
        <is>
          <t>主色调与配色体系</t>
        </is>
      </c>
      <c r="F7" s="28" t="inlineStr">
        <is>
          <t>全局样式基准（原型绘制须遵循）：主色海洋蓝#1A759F（页头、主按钮、选中态），浅海蓝#D9EDF7（卡片底），沙滩米白#FDF6EC（页面底），提醒橙#E76F51，成功绿#52B788，危险红#E63946（禁忌/驳回/错误），正文#1D3557，次要文字#6C757D。各界面控件行引用本规范取色，不另行定义。来源：新增（9-8评审意见：需明确样式规格）</t>
        </is>
      </c>
      <c r="G7" s="26" t="inlineStr">
        <is>
          <t>×</t>
        </is>
      </c>
      <c r="H7" s="26" t="inlineStr">
        <is>
          <t>×</t>
        </is>
      </c>
      <c r="I7" s="26" t="inlineStr">
        <is>
          <t>×</t>
        </is>
      </c>
      <c r="J7" s="26" t="inlineStr">
        <is>
          <t>高颢宸</t>
        </is>
      </c>
      <c r="K7" s="26" t="inlineStr">
        <is>
          <t>高颢宸</t>
        </is>
      </c>
    </row>
    <row r="8" ht="47.5" customHeight="1" s="19">
      <c r="A8" s="1" t="n"/>
      <c r="B8" s="26" t="n">
        <v>3</v>
      </c>
      <c r="C8" s="28" t="n"/>
      <c r="D8" s="28" t="inlineStr">
        <is>
          <t>适老化规范</t>
        </is>
      </c>
      <c r="E8" s="28" t="inlineStr">
        <is>
          <t>客人端字号与操作规格</t>
        </is>
      </c>
      <c r="F8" s="28" t="inlineStr">
        <is>
          <t>客人端正文≥18px、页标题≥24px加粗、行距≥1.5；按钮高度≥48px、可点击区域≥44×44px；正文与背景对比度≥4.5:1；关键操作（取消预约、提交审核等）用大按钮+二次确认弹窗。来源：调研报告·适老化设计</t>
        </is>
      </c>
      <c r="G8" s="26" t="inlineStr">
        <is>
          <t>×</t>
        </is>
      </c>
      <c r="H8" s="26" t="inlineStr">
        <is>
          <t>×</t>
        </is>
      </c>
      <c r="I8" s="26" t="inlineStr">
        <is>
          <t>×</t>
        </is>
      </c>
      <c r="J8" s="26" t="inlineStr">
        <is>
          <t>高颢宸</t>
        </is>
      </c>
      <c r="K8" s="26" t="inlineStr">
        <is>
          <t>高颢宸</t>
        </is>
      </c>
    </row>
    <row r="9" ht="47.5" customHeight="1" s="19">
      <c r="A9" s="1" t="n"/>
      <c r="B9" s="26" t="n">
        <v>4</v>
      </c>
      <c r="C9" s="28" t="n"/>
      <c r="D9" s="28" t="inlineStr">
        <is>
          <t>响应式适配</t>
        </is>
      </c>
      <c r="E9" s="28" t="inlineStr">
        <is>
          <t>手机与电脑自适应</t>
        </is>
      </c>
      <c r="F9" s="28" t="inlineStr">
        <is>
          <t>客人端单套响应式网页，断点768px：≥768px桌面双栏（左侧对话、右侧内容卡片），&lt;768px手机单栏+底部Tab导航（见「客人端导航框架」行）。动作：两类终端均可完成对话、查看疗程与预约，主要信息可读、操作可用。来源：4.1</t>
        </is>
      </c>
      <c r="G9" s="26" t="inlineStr">
        <is>
          <t>×</t>
        </is>
      </c>
      <c r="H9" s="26" t="inlineStr">
        <is>
          <t>×</t>
        </is>
      </c>
      <c r="I9" s="26" t="inlineStr">
        <is>
          <t>×</t>
        </is>
      </c>
      <c r="J9" s="26" t="inlineStr">
        <is>
          <t>高颢宸</t>
        </is>
      </c>
      <c r="K9" s="26" t="inlineStr">
        <is>
          <t>高颢宸</t>
        </is>
      </c>
    </row>
    <row r="10" ht="33" customHeight="1" s="19">
      <c r="A10" s="1" t="n"/>
      <c r="B10" s="26" t="n">
        <v>5</v>
      </c>
      <c r="C10" s="28" t="n"/>
      <c r="D10" s="28" t="inlineStr">
        <is>
          <t>交互模式</t>
        </is>
      </c>
      <c r="E10" s="28" t="inlineStr">
        <is>
          <t>对话主入口与页面直操作并存</t>
        </is>
      </c>
      <c r="F10" s="28" t="inlineStr">
        <is>
          <t>客人以康养管家对话（图3）为主入口，疗程卡片、日程时间线、预约单、图表等结果在对应页面结构化呈现；轻量浏览（看项目、查日程）可直接页面操作，不强制发起对话。来源：4.2</t>
        </is>
      </c>
      <c r="G10" s="26" t="inlineStr">
        <is>
          <t>×</t>
        </is>
      </c>
      <c r="H10" s="26" t="inlineStr">
        <is>
          <t>×</t>
        </is>
      </c>
      <c r="I10" s="26" t="inlineStr">
        <is>
          <t>×</t>
        </is>
      </c>
      <c r="J10" s="26" t="inlineStr">
        <is>
          <t>高颢宸</t>
        </is>
      </c>
      <c r="K10" s="26" t="inlineStr">
        <is>
          <t>高颢宸</t>
        </is>
      </c>
    </row>
    <row r="11" ht="47.5" customHeight="1" s="19">
      <c r="A11" s="1" t="n"/>
      <c r="B11" s="26" t="n">
        <v>6</v>
      </c>
      <c r="C11" s="28" t="n"/>
      <c r="D11" s="28" t="inlineStr">
        <is>
          <t>反馈规范</t>
        </is>
      </c>
      <c r="E11" s="28" t="inlineStr">
        <is>
          <t>全局提示与加载状态</t>
        </is>
      </c>
      <c r="F11" s="28" t="inlineStr">
        <is>
          <t>全局交互规格：操作成功/失败以顶部轻提示反馈（2.5秒自动消失）；智能体生成期间显示「正在思考…」加载态；危险操作（驳回、批量取消）弹窗二次确认并说明影响。来源：新增（评审细化）</t>
        </is>
      </c>
      <c r="G11" s="26" t="inlineStr">
        <is>
          <t>×</t>
        </is>
      </c>
      <c r="H11" s="26" t="inlineStr">
        <is>
          <t>×</t>
        </is>
      </c>
      <c r="I11" s="26" t="inlineStr">
        <is>
          <t>×</t>
        </is>
      </c>
      <c r="J11" s="26" t="inlineStr">
        <is>
          <t>高颢宸</t>
        </is>
      </c>
      <c r="K11" s="26" t="inlineStr">
        <is>
          <t>高颢宸</t>
        </is>
      </c>
    </row>
    <row r="12" ht="47.5" customHeight="1" s="19">
      <c r="A12" s="1" t="n"/>
      <c r="B12" s="26" t="n">
        <v>7</v>
      </c>
      <c r="C12" s="28" t="n"/>
      <c r="D12" s="28" t="inlineStr">
        <is>
          <t>导航框架</t>
        </is>
      </c>
      <c r="E12" s="28" t="inlineStr">
        <is>
          <t>客人端Tab与页面骨架</t>
        </is>
      </c>
      <c r="F12" s="28" t="inlineStr">
        <is>
          <t>参照图1～图8：手机端底部Tab为「管家/日程/项目/膳食/我的」，桌面端为左侧导航栏；「我的」聚合健康档案、心情陪伴、健康数据入口。动作：Tab/导航切换保留各页浏览状态。来源：4.1、4.2（评审细化）</t>
        </is>
      </c>
      <c r="G12" s="26" t="inlineStr">
        <is>
          <t>×</t>
        </is>
      </c>
      <c r="H12" s="26" t="inlineStr">
        <is>
          <t>×</t>
        </is>
      </c>
      <c r="I12" s="26" t="inlineStr">
        <is>
          <t>×</t>
        </is>
      </c>
      <c r="J12" s="26" t="inlineStr">
        <is>
          <t>高颢宸</t>
        </is>
      </c>
      <c r="K12" s="26" t="inlineStr">
        <is>
          <t>高颢宸</t>
        </is>
      </c>
    </row>
    <row r="13" ht="62" customHeight="1" s="19">
      <c r="A13" s="1" t="n"/>
      <c r="B13" s="26" t="n">
        <v>8</v>
      </c>
      <c r="C13" s="27" t="inlineStr">
        <is>
          <t>入住与健康档案</t>
        </is>
      </c>
      <c r="D13" s="28" t="inlineStr">
        <is>
          <t>图1·登录界面</t>
        </is>
      </c>
      <c r="E13" s="28" t="inlineStr">
        <is>
          <t>登录控件组</t>
        </is>
      </c>
      <c r="F13" s="28" t="inlineStr">
        <is>
          <t>参照图1，图标1：「康养管家」品牌标题（24px加粗，#1A759F，居中）+手机号、密码输入框（占位提示对应名称，密码圆点遮蔽）+主按钮「登录」（白字，背景#1A759F，高48px）。动作：非空校验后登录，失败提示「手机号或密码错误」，成功进入客人端首页。来源：4.1（客人端访问入口，评审细化）</t>
        </is>
      </c>
      <c r="G13" s="26" t="inlineStr">
        <is>
          <t>×</t>
        </is>
      </c>
      <c r="H13" s="26" t="inlineStr">
        <is>
          <t>×</t>
        </is>
      </c>
      <c r="I13" s="26" t="inlineStr">
        <is>
          <t>×</t>
        </is>
      </c>
      <c r="J13" s="26" t="inlineStr">
        <is>
          <t>郭一甫</t>
        </is>
      </c>
      <c r="K13" s="26" t="inlineStr">
        <is>
          <t>高颢宸</t>
        </is>
      </c>
    </row>
    <row r="14" ht="22" customHeight="1" s="19">
      <c r="A14" s="1" t="n"/>
      <c r="B14" s="26" t="n">
        <v>9</v>
      </c>
      <c r="C14" s="28" t="n"/>
      <c r="D14" s="28" t="inlineStr">
        <is>
          <t>图1·注册界面</t>
        </is>
      </c>
      <c r="E14" s="28" t="inlineStr">
        <is>
          <t>页面标题</t>
        </is>
      </c>
      <c r="F14" s="28" t="inlineStr">
        <is>
          <t>参照图1，图标2：静态显示「客人注册」，24px加粗，色#1A759F，居中。来源：5.1.1</t>
        </is>
      </c>
      <c r="G14" s="26" t="inlineStr">
        <is>
          <t>×</t>
        </is>
      </c>
      <c r="H14" s="26" t="inlineStr">
        <is>
          <t>×</t>
        </is>
      </c>
      <c r="I14" s="26" t="inlineStr">
        <is>
          <t>×</t>
        </is>
      </c>
      <c r="J14" s="26" t="inlineStr">
        <is>
          <t>郭一甫</t>
        </is>
      </c>
      <c r="K14" s="26" t="inlineStr">
        <is>
          <t>高颢宸</t>
        </is>
      </c>
    </row>
    <row r="15" ht="47.5" customHeight="1" s="19">
      <c r="A15" s="1" t="n"/>
      <c r="B15" s="26" t="n">
        <v>10</v>
      </c>
      <c r="C15" s="28" t="n"/>
      <c r="D15" s="28" t="inlineStr">
        <is>
          <t>图1·注册界面</t>
        </is>
      </c>
      <c r="E15" s="28" t="inlineStr">
        <is>
          <t>基础信息输入框组</t>
        </is>
      </c>
      <c r="F15" s="28" t="inlineStr">
        <is>
          <t>参照图1，图标3：姓名、手机号、密码、确认密码四个输入框（占位提示对应字段，密码圆点遮蔽，手机号仅允许输入数字）。动作：失焦校验非空、手机号11位、两次密码一致；不满足时红框#E63946+行内提示。来源：5.1.1</t>
        </is>
      </c>
      <c r="G15" s="26" t="inlineStr">
        <is>
          <t>×</t>
        </is>
      </c>
      <c r="H15" s="26" t="inlineStr">
        <is>
          <t>×</t>
        </is>
      </c>
      <c r="I15" s="26" t="inlineStr">
        <is>
          <t>×</t>
        </is>
      </c>
      <c r="J15" s="26" t="inlineStr">
        <is>
          <t>郭一甫</t>
        </is>
      </c>
      <c r="K15" s="26" t="inlineStr">
        <is>
          <t>高颢宸</t>
        </is>
      </c>
    </row>
    <row r="16" ht="47.5" customHeight="1" s="19">
      <c r="A16" s="1" t="n"/>
      <c r="B16" s="26" t="n">
        <v>11</v>
      </c>
      <c r="C16" s="28" t="n"/>
      <c r="D16" s="28" t="inlineStr">
        <is>
          <t>图1·注册界面</t>
        </is>
      </c>
      <c r="E16" s="28" t="inlineStr">
        <is>
          <t>注册按钮与登录切换</t>
        </is>
      </c>
      <c r="F16" s="28" t="inlineStr">
        <is>
          <t>参照图1，图标4：主按钮「注册」（白字，背景#1A759F）+扁平链接「已有账号？返回登录」。动作：校验通过后创建客人账号并引导进入健康档案填写（图2）；点击链接切换登录视图。来源：5.1.1</t>
        </is>
      </c>
      <c r="G16" s="26" t="inlineStr">
        <is>
          <t>×</t>
        </is>
      </c>
      <c r="H16" s="26" t="inlineStr">
        <is>
          <t>×</t>
        </is>
      </c>
      <c r="I16" s="26" t="inlineStr">
        <is>
          <t>×</t>
        </is>
      </c>
      <c r="J16" s="26" t="inlineStr">
        <is>
          <t>郭一甫</t>
        </is>
      </c>
      <c r="K16" s="26" t="inlineStr">
        <is>
          <t>高颢宸</t>
        </is>
      </c>
    </row>
    <row r="17" ht="33" customHeight="1" s="19">
      <c r="A17" s="1" t="n"/>
      <c r="B17" s="26" t="n">
        <v>12</v>
      </c>
      <c r="C17" s="28" t="n"/>
      <c r="D17" s="28" t="inlineStr">
        <is>
          <t>图2·健康档案页</t>
        </is>
      </c>
      <c r="E17" s="28" t="inlineStr">
        <is>
          <t>页面标题与在住信息栏</t>
        </is>
      </c>
      <c r="F17" s="28" t="inlineStr">
        <is>
          <t>参照图2，图标1：显示「健康档案」+客人姓名、房号、入住/离店日期、在住状态标签（在住=绿#52B788，已离店=灰#6C757D）。数据来源：入住登记记录。来源：5.1.1、5.1.2、5.2.2</t>
        </is>
      </c>
      <c r="G17" s="26" t="inlineStr">
        <is>
          <t>×</t>
        </is>
      </c>
      <c r="H17" s="26" t="inlineStr">
        <is>
          <t>×</t>
        </is>
      </c>
      <c r="I17" s="26" t="inlineStr">
        <is>
          <t>×</t>
        </is>
      </c>
      <c r="J17" s="26" t="inlineStr">
        <is>
          <t>郭一甫</t>
        </is>
      </c>
      <c r="K17" s="26" t="inlineStr">
        <is>
          <t>高颢宸</t>
        </is>
      </c>
    </row>
    <row r="18" ht="33" customHeight="1" s="19">
      <c r="A18" s="1" t="n"/>
      <c r="B18" s="26" t="n">
        <v>13</v>
      </c>
      <c r="C18" s="28" t="n"/>
      <c r="D18" s="28" t="inlineStr">
        <is>
          <t>图2·健康档案页</t>
        </is>
      </c>
      <c r="E18" s="28" t="inlineStr">
        <is>
          <t>慢病史与用药输入区</t>
        </is>
      </c>
      <c r="F18" s="28" t="inlineStr">
        <is>
          <t>参照图2，图标2：慢病史多选标签（高血压/心脏病/糖尿病/其他可补充）+长期用药文本域。动作：保存后供健康评估、禁忌校验与医护审核读取。来源：5.1.1</t>
        </is>
      </c>
      <c r="G18" s="26" t="inlineStr">
        <is>
          <t>×</t>
        </is>
      </c>
      <c r="H18" s="26" t="inlineStr">
        <is>
          <t>×</t>
        </is>
      </c>
      <c r="I18" s="26" t="inlineStr">
        <is>
          <t>×</t>
        </is>
      </c>
      <c r="J18" s="26" t="inlineStr">
        <is>
          <t>郭一甫</t>
        </is>
      </c>
      <c r="K18" s="26" t="inlineStr">
        <is>
          <t>高颢宸</t>
        </is>
      </c>
    </row>
    <row r="19" ht="33" customHeight="1" s="19">
      <c r="A19" s="1" t="n"/>
      <c r="B19" s="26" t="n">
        <v>14</v>
      </c>
      <c r="C19" s="28" t="n"/>
      <c r="D19" s="28" t="inlineStr">
        <is>
          <t>图2·健康档案页</t>
        </is>
      </c>
      <c r="E19" s="28" t="inlineStr">
        <is>
          <t>过敏源与饮食忌口输入区</t>
        </is>
      </c>
      <c r="F19" s="28" t="inlineStr">
        <is>
          <t>参照图2，图标3：过敏源文本域（食物/药物/其他）+饮食忌口标签组。动作：保存后作为膳食推荐与换菜的硬约束。来源：5.1.1、5.1.5</t>
        </is>
      </c>
      <c r="G19" s="26" t="inlineStr">
        <is>
          <t>×</t>
        </is>
      </c>
      <c r="H19" s="26" t="inlineStr">
        <is>
          <t>×</t>
        </is>
      </c>
      <c r="I19" s="26" t="inlineStr">
        <is>
          <t>×</t>
        </is>
      </c>
      <c r="J19" s="26" t="inlineStr">
        <is>
          <t>郭一甫</t>
        </is>
      </c>
      <c r="K19" s="26" t="inlineStr">
        <is>
          <t>高颢宸</t>
        </is>
      </c>
    </row>
    <row r="20" ht="33" customHeight="1" s="19">
      <c r="A20" s="1" t="n"/>
      <c r="B20" s="26" t="n">
        <v>15</v>
      </c>
      <c r="C20" s="28" t="n"/>
      <c r="D20" s="28" t="inlineStr">
        <is>
          <t>图2·健康档案页</t>
        </is>
      </c>
      <c r="E20" s="28" t="inlineStr">
        <is>
          <t>行动能力与睡眠状况输入区</t>
        </is>
      </c>
      <c r="F20" s="28" t="inlineStr">
        <is>
          <t>参照图2，图标4：行动能力单选（自如/需辅助/轮椅）+睡眠状况选择（好/一般/差，可文字补充）。动作：保存后供运动强度安排与疗程个性化引用。来源：5.1.1</t>
        </is>
      </c>
      <c r="G20" s="26" t="inlineStr">
        <is>
          <t>×</t>
        </is>
      </c>
      <c r="H20" s="26" t="inlineStr">
        <is>
          <t>×</t>
        </is>
      </c>
      <c r="I20" s="26" t="inlineStr">
        <is>
          <t>×</t>
        </is>
      </c>
      <c r="J20" s="26" t="inlineStr">
        <is>
          <t>郭一甫</t>
        </is>
      </c>
      <c r="K20" s="26" t="inlineStr">
        <is>
          <t>高颢宸</t>
        </is>
      </c>
    </row>
    <row r="21" ht="33" customHeight="1" s="19">
      <c r="A21" s="1" t="n"/>
      <c r="B21" s="26" t="n">
        <v>16</v>
      </c>
      <c r="C21" s="28" t="n"/>
      <c r="D21" s="28" t="inlineStr">
        <is>
          <t>图2·健康档案页</t>
        </is>
      </c>
      <c r="E21" s="28" t="inlineStr">
        <is>
          <t>档案保存按钮</t>
        </is>
      </c>
      <c r="F21" s="28" t="inlineStr">
        <is>
          <t>参照图2，图标5：主按钮「保存档案」（白字，背景#1A759F）。动作：整体校验必填项后保存，成功提示「档案已更新」，失败红框定位缺失项；再次进入显示最新内容。来源：5.1.1</t>
        </is>
      </c>
      <c r="G21" s="26" t="inlineStr">
        <is>
          <t>×</t>
        </is>
      </c>
      <c r="H21" s="26" t="inlineStr">
        <is>
          <t>×</t>
        </is>
      </c>
      <c r="I21" s="26" t="inlineStr">
        <is>
          <t>×</t>
        </is>
      </c>
      <c r="J21" s="26" t="inlineStr">
        <is>
          <t>郭一甫</t>
        </is>
      </c>
      <c r="K21" s="26" t="inlineStr">
        <is>
          <t>高颢宸</t>
        </is>
      </c>
    </row>
    <row r="22" ht="33" customHeight="1" s="19">
      <c r="A22" s="1" t="n"/>
      <c r="B22" s="26" t="n">
        <v>17</v>
      </c>
      <c r="C22" s="28" t="n"/>
      <c r="D22" s="28" t="inlineStr">
        <is>
          <t>图2·健康档案页</t>
        </is>
      </c>
      <c r="E22" s="28" t="inlineStr">
        <is>
          <t>档案变更记录区</t>
        </is>
      </c>
      <c r="F22" s="28" t="inlineStr">
        <is>
          <t>参照图2，图标6：按时间倒序列出修改记录（时间、来源：表单/对话采集、修改人）。动作：点击记录展开该次修改前后对照。来源：5.1.1（评审细化）</t>
        </is>
      </c>
      <c r="G22" s="26" t="inlineStr">
        <is>
          <t>×</t>
        </is>
      </c>
      <c r="H22" s="26" t="inlineStr">
        <is>
          <t>×</t>
        </is>
      </c>
      <c r="I22" s="26" t="inlineStr">
        <is>
          <t>×</t>
        </is>
      </c>
      <c r="J22" s="26" t="inlineStr">
        <is>
          <t>郭一甫</t>
        </is>
      </c>
      <c r="K22" s="26" t="inlineStr">
        <is>
          <t>高颢宸</t>
        </is>
      </c>
    </row>
    <row r="23" ht="33" customHeight="1" s="19">
      <c r="A23" s="1" t="n"/>
      <c r="B23" s="26" t="n">
        <v>18</v>
      </c>
      <c r="C23" s="28" t="n"/>
      <c r="D23" s="28" t="inlineStr">
        <is>
          <t>图2·健康档案页</t>
        </is>
      </c>
      <c r="E23" s="28" t="inlineStr">
        <is>
          <t>档案完整度提示</t>
        </is>
      </c>
      <c r="F23" s="28" t="inlineStr">
        <is>
          <t>参照图2，图标7：顶部完整度进度条（已填字段/总字段，绿#52B788）。动作：完整度不足时提示「补充档案可获得更准确的推荐」，点击跳转未填项。来源：5.1.1（评审细化）</t>
        </is>
      </c>
      <c r="G23" s="26" t="inlineStr">
        <is>
          <t>×</t>
        </is>
      </c>
      <c r="H23" s="26" t="inlineStr">
        <is>
          <t>×</t>
        </is>
      </c>
      <c r="I23" s="26" t="inlineStr">
        <is>
          <t>×</t>
        </is>
      </c>
      <c r="J23" s="26" t="inlineStr">
        <is>
          <t>郭一甫</t>
        </is>
      </c>
      <c r="K23" s="26" t="inlineStr">
        <is>
          <t>高颢宸</t>
        </is>
      </c>
    </row>
    <row r="24" ht="62" customHeight="1" s="19">
      <c r="A24" s="1" t="n"/>
      <c r="B24" s="26" t="n">
        <v>19</v>
      </c>
      <c r="C24" s="28" t="n"/>
      <c r="D24" s="28" t="inlineStr">
        <is>
          <t>档案逻辑</t>
        </is>
      </c>
      <c r="E24" s="28" t="inlineStr">
        <is>
          <t>对话采集写入档案</t>
        </is>
      </c>
      <c r="F24" s="28" t="inlineStr">
        <is>
          <t>触发：客人在管家对话中给出明确健康信息（如「我对虾过敏」）。输入：对话文本+当前档案。处理：管家抽取信息并与档案字段匹配、去重后追加。输出：档案字段更新并记入变更记录（来源标注「对话采集」）。异常：语义不明时先追问确认再写入。来源：5.1.1；验收：对话补充信息可在档案页查看且来源标注正确。</t>
        </is>
      </c>
      <c r="G24" s="26" t="inlineStr">
        <is>
          <t>×</t>
        </is>
      </c>
      <c r="H24" s="26" t="inlineStr">
        <is>
          <t>×</t>
        </is>
      </c>
      <c r="I24" s="26" t="inlineStr">
        <is>
          <t>×</t>
        </is>
      </c>
      <c r="J24" s="26" t="inlineStr">
        <is>
          <t>郭一甫</t>
        </is>
      </c>
      <c r="K24" s="26" t="inlineStr">
        <is>
          <t>高颢宸</t>
        </is>
      </c>
    </row>
    <row r="25" ht="62" customHeight="1" s="19">
      <c r="A25" s="1" t="n"/>
      <c r="B25" s="26" t="n">
        <v>20</v>
      </c>
      <c r="C25" s="28" t="n"/>
      <c r="D25" s="28" t="inlineStr">
        <is>
          <t>档案逻辑</t>
        </is>
      </c>
      <c r="E25" s="28" t="inlineStr">
        <is>
          <t>档案驱动推荐与禁忌校验</t>
        </is>
      </c>
      <c r="F25" s="28" t="inlineStr">
        <is>
          <t>触发：任一智能体生成建议或疗程。输入：客人健康档案。处理：所有推荐以档案为依据，输出前执行禁忌规则匹配。输出：通过校验的建议，或带禁忌说明的排除/替代结果。异常：命中禁忌时不得输出原建议。来源：5.1.1、六·可信特色；验收：同一项目对不同档案产生不同适宜性结论，禁忌不因入口不同而遗漏。</t>
        </is>
      </c>
      <c r="G25" s="26" t="inlineStr">
        <is>
          <t>×</t>
        </is>
      </c>
      <c r="H25" s="26" t="inlineStr">
        <is>
          <t>×</t>
        </is>
      </c>
      <c r="I25" s="26" t="inlineStr">
        <is>
          <t>×</t>
        </is>
      </c>
      <c r="J25" s="26" t="inlineStr">
        <is>
          <t>郭一甫</t>
        </is>
      </c>
      <c r="K25" s="26" t="inlineStr">
        <is>
          <t>高颢宸</t>
        </is>
      </c>
    </row>
    <row r="26" ht="62" customHeight="1" s="19">
      <c r="A26" s="1" t="n"/>
      <c r="B26" s="26" t="n">
        <v>21</v>
      </c>
      <c r="C26" s="28" t="n"/>
      <c r="D26" s="28" t="inlineStr">
        <is>
          <t>档案逻辑</t>
        </is>
      </c>
      <c r="E26" s="28" t="inlineStr">
        <is>
          <t>入住登记与疗程周期</t>
        </is>
      </c>
      <c r="F26" s="28" t="inlineStr">
        <is>
          <t>触发：办理入住登记。输入：入住/离店日期。处理：生成在住状态与住宿天数，作为疗程周期上限（默认7日封顶）。输出：在住状态供机构端查看（图10），疗程周期与住宿天数一致。异常：离店早于入住时提示修正。来源：5.1.1、5.1.2、5.2.2；验收：机构端可查看在住状态，疗程周期与入住时长一致。</t>
        </is>
      </c>
      <c r="G26" s="26" t="inlineStr">
        <is>
          <t>×</t>
        </is>
      </c>
      <c r="H26" s="26" t="inlineStr">
        <is>
          <t>×</t>
        </is>
      </c>
      <c r="I26" s="26" t="inlineStr">
        <is>
          <t>×</t>
        </is>
      </c>
      <c r="J26" s="26" t="inlineStr">
        <is>
          <t>郭一甫</t>
        </is>
      </c>
      <c r="K26" s="26" t="inlineStr">
        <is>
          <t>高颢宸</t>
        </is>
      </c>
    </row>
    <row r="27" ht="62" customHeight="1" s="19">
      <c r="A27" s="1" t="n"/>
      <c r="B27" s="26" t="n">
        <v>22</v>
      </c>
      <c r="C27" s="27" t="inlineStr">
        <is>
          <t>多智能体协作</t>
        </is>
      </c>
      <c r="D27" s="28" t="inlineStr">
        <is>
          <t>调度智能体</t>
        </is>
      </c>
      <c r="E27" s="28" t="inlineStr">
        <is>
          <t>意图识别与任务分派</t>
        </is>
      </c>
      <c r="F27" s="28" t="inlineStr">
        <is>
          <t>触发：客人发送对话消息。输入：对话文本+会话上下文+客人档案摘要。处理：识别意图类别（理疗/膳食/运动/心理陪伴/预约事务/档案/闲聊），低置信度时先追问澄清。输出：任务分派至对应领域智能体并携带档案上下文。异常：连续2次无法识别时引导使用页面入口完成。来源：4.3；验收：四类领域请求分派正确，客人始终只与管家交互。</t>
        </is>
      </c>
      <c r="G27" s="26" t="inlineStr">
        <is>
          <t>×</t>
        </is>
      </c>
      <c r="H27" s="26" t="inlineStr">
        <is>
          <t>×</t>
        </is>
      </c>
      <c r="I27" s="26" t="inlineStr">
        <is>
          <t>×</t>
        </is>
      </c>
      <c r="J27" s="26" t="inlineStr">
        <is>
          <t>高颢宸</t>
        </is>
      </c>
      <c r="K27" s="26" t="inlineStr">
        <is>
          <t>高颢宸</t>
        </is>
      </c>
    </row>
    <row r="28" ht="62" customHeight="1" s="19">
      <c r="A28" s="1" t="n"/>
      <c r="B28" s="26" t="n">
        <v>23</v>
      </c>
      <c r="C28" s="28" t="n"/>
      <c r="D28" s="28" t="inlineStr">
        <is>
          <t>调度智能体</t>
        </is>
      </c>
      <c r="E28" s="28" t="inlineStr">
        <is>
          <t>结果汇总与疗程编排</t>
        </is>
      </c>
      <c r="F28" s="28" t="inlineStr">
        <is>
          <t>触发：领域智能体返回结果。输入：各领域建议+当前疗程。处理：合并去重、消除项目时段冲突、按禁忌规则复核。输出：统一自然语言回复+结构化疗程/预约变更。异常：领域结果冲突时以禁忌与安全规则优先并向客人说明。来源：4.3；验收：跨领域请求得到统一结果，整合安排无时段冲突。</t>
        </is>
      </c>
      <c r="G28" s="26" t="inlineStr">
        <is>
          <t>×</t>
        </is>
      </c>
      <c r="H28" s="26" t="inlineStr">
        <is>
          <t>×</t>
        </is>
      </c>
      <c r="I28" s="26" t="inlineStr">
        <is>
          <t>×</t>
        </is>
      </c>
      <c r="J28" s="26" t="inlineStr">
        <is>
          <t>高颢宸</t>
        </is>
      </c>
      <c r="K28" s="26" t="inlineStr">
        <is>
          <t>高颢宸</t>
        </is>
      </c>
    </row>
    <row r="29" ht="62" customHeight="1" s="19">
      <c r="A29" s="1" t="n"/>
      <c r="B29" s="26" t="n">
        <v>24</v>
      </c>
      <c r="C29" s="28" t="n"/>
      <c r="D29" s="28" t="inlineStr">
        <is>
          <t>理疗顾问智能体</t>
        </is>
      </c>
      <c r="E29" s="28" t="inlineStr">
        <is>
          <t>水疗建议与禁忌校验</t>
        </is>
      </c>
      <c r="F29" s="28" t="inlineStr">
        <is>
          <t>触发：理疗类意图或疗程生成。输入：客人档案+水疗项目库（表3）+禁忌规则库。处理：匹配适宜水疗项目并校验禁忌（如高血压/心脏病慎泡温泉）。输出：建议+依据+禁忌说明。异常：全部命中禁忌时给出替代建议。来源：4.3；验收：建议体现健康条件，命中禁忌给说明并转入审核流程。</t>
        </is>
      </c>
      <c r="G29" s="26" t="inlineStr">
        <is>
          <t>×</t>
        </is>
      </c>
      <c r="H29" s="26" t="inlineStr">
        <is>
          <t>×</t>
        </is>
      </c>
      <c r="I29" s="26" t="inlineStr">
        <is>
          <t>×</t>
        </is>
      </c>
      <c r="J29" s="26" t="inlineStr">
        <is>
          <t>高颢宸</t>
        </is>
      </c>
      <c r="K29" s="26" t="inlineStr">
        <is>
          <t>高颢宸</t>
        </is>
      </c>
    </row>
    <row r="30" ht="47.5" customHeight="1" s="19">
      <c r="A30" s="1" t="n"/>
      <c r="B30" s="26" t="n">
        <v>25</v>
      </c>
      <c r="C30" s="28" t="n"/>
      <c r="D30" s="28" t="inlineStr">
        <is>
          <t>营养师智能体</t>
        </is>
      </c>
      <c r="E30" s="28" t="inlineStr">
        <is>
          <t>膳食搭配能力</t>
        </is>
      </c>
      <c r="F30" s="28" t="inlineStr">
        <is>
          <t>触发：膳食类意图或三餐生成。输入：档案（健康状况/过敏/忌口）+菜品库。处理：硬性排除过敏与忌口菜品后按客群策略搭配。输出：三餐搭配建议。异常：可选菜品不足时放宽非安全约束并说明。来源：4.3、5.1.5；验收：搭配可用于三餐推荐并体现饮食约束。</t>
        </is>
      </c>
      <c r="G30" s="26" t="inlineStr">
        <is>
          <t>×</t>
        </is>
      </c>
      <c r="H30" s="26" t="inlineStr">
        <is>
          <t>×</t>
        </is>
      </c>
      <c r="I30" s="26" t="inlineStr">
        <is>
          <t>×</t>
        </is>
      </c>
      <c r="J30" s="26" t="inlineStr">
        <is>
          <t>高颢宸</t>
        </is>
      </c>
      <c r="K30" s="26" t="inlineStr">
        <is>
          <t>高颢宸</t>
        </is>
      </c>
    </row>
    <row r="31" ht="62" customHeight="1" s="19">
      <c r="A31" s="1" t="n"/>
      <c r="B31" s="26" t="n">
        <v>26</v>
      </c>
      <c r="C31" s="28" t="n"/>
      <c r="D31" s="28" t="inlineStr">
        <is>
          <t>运动教练智能体</t>
        </is>
      </c>
      <c r="E31" s="28" t="inlineStr">
        <is>
          <t>运动强度安排</t>
        </is>
      </c>
      <c r="F31" s="28" t="inlineStr">
        <is>
          <t>触发：运动类意图或疗程生成。输入：档案（行动能力/身体条件）+运动项目库（含强度等级，表3）。处理：按条件匹配项目与强度。输出：运动安排（项目+强度+时段建议）。异常：条件不允许时降级强度或替换项目。来源：4.3、表3；验收：不同行动能力得到不同强度安排，结果进入疗程。</t>
        </is>
      </c>
      <c r="G31" s="26" t="inlineStr">
        <is>
          <t>×</t>
        </is>
      </c>
      <c r="H31" s="26" t="inlineStr">
        <is>
          <t>×</t>
        </is>
      </c>
      <c r="I31" s="26" t="inlineStr">
        <is>
          <t>×</t>
        </is>
      </c>
      <c r="J31" s="26" t="inlineStr">
        <is>
          <t>高颢宸</t>
        </is>
      </c>
      <c r="K31" s="26" t="inlineStr">
        <is>
          <t>高颢宸</t>
        </is>
      </c>
    </row>
    <row r="32" ht="62" customHeight="1" s="19">
      <c r="A32" s="1" t="n"/>
      <c r="B32" s="26" t="n">
        <v>27</v>
      </c>
      <c r="C32" s="28" t="n"/>
      <c r="D32" s="28" t="inlineStr">
        <is>
          <t>心理陪伴智能体</t>
        </is>
      </c>
      <c r="E32" s="28" t="inlineStr">
        <is>
          <t>情绪疏导能力</t>
        </is>
      </c>
      <c r="F32" s="28" t="inlineStr">
        <is>
          <t>触发：情绪/陪伴类意图或负面心情打卡。输入：对话文本+情绪记录+客群画像。处理：长者侧重回忆式陪聊，中青年侧重压力疏解。输出：陪伴回复及冥想/环境音资源引荐。异常：识别到持续负面情绪时在简报与医护关注列表提示。来源：4.3、5.1.6；验收：情绪请求得到陪伴响应，无需切换独立智能体入口。</t>
        </is>
      </c>
      <c r="G32" s="26" t="inlineStr">
        <is>
          <t>×</t>
        </is>
      </c>
      <c r="H32" s="26" t="inlineStr">
        <is>
          <t>×</t>
        </is>
      </c>
      <c r="I32" s="26" t="inlineStr">
        <is>
          <t>×</t>
        </is>
      </c>
      <c r="J32" s="26" t="inlineStr">
        <is>
          <t>高颢宸</t>
        </is>
      </c>
      <c r="K32" s="26" t="inlineStr">
        <is>
          <t>高颢宸</t>
        </is>
      </c>
    </row>
    <row r="33" ht="62" customHeight="1" s="19">
      <c r="A33" s="1" t="n"/>
      <c r="B33" s="26" t="n">
        <v>28</v>
      </c>
      <c r="C33" s="28" t="n"/>
      <c r="D33" s="28" t="inlineStr">
        <is>
          <t>知识与规则库</t>
        </is>
      </c>
      <c r="E33" s="28" t="inlineStr">
        <is>
          <t>领域知识库与规则库</t>
        </is>
      </c>
      <c r="F33" s="28" t="inlineStr">
        <is>
          <t>数据规格：知识库存放项目介绍、膳食营养、运动康复等领域知识（每条含来源与更新时间）；规则库存放禁忌与安全规则（规则编号、触发条件、处置动作），预置规则见「医护审核台·禁忌规则列表」行；各智能体检索结果须带知识/规则编号以便追溯。来源：2.2、4.3；验收：各领域建议可引用知识与规则，机构端可查阅规则。</t>
        </is>
      </c>
      <c r="G33" s="26" t="inlineStr">
        <is>
          <t>×</t>
        </is>
      </c>
      <c r="H33" s="26" t="inlineStr">
        <is>
          <t>×</t>
        </is>
      </c>
      <c r="I33" s="26" t="inlineStr">
        <is>
          <t>×</t>
        </is>
      </c>
      <c r="J33" s="26" t="inlineStr">
        <is>
          <t>高颢宸</t>
        </is>
      </c>
      <c r="K33" s="26" t="inlineStr">
        <is>
          <t>高颢宸</t>
        </is>
      </c>
    </row>
    <row r="34" ht="62" customHeight="1" s="19">
      <c r="A34" s="1" t="n"/>
      <c r="B34" s="26" t="n">
        <v>29</v>
      </c>
      <c r="C34" s="28" t="n"/>
      <c r="D34" s="28" t="inlineStr">
        <is>
          <t>工具调用</t>
        </is>
      </c>
      <c r="E34" s="28" t="inlineStr">
        <is>
          <t>业务工具接口</t>
        </is>
      </c>
      <c r="F34" s="28" t="inlineStr">
        <is>
          <t>接口规格：智能体通过工具调用完成业务操作，工具清单=项目查询、预约创建/取消、膳食点餐、档案读写、潮汐与天气查询；每次调用带操作方标识（客人/智能体）并写入业务记录；调用失败向管家返回错误原因转述给客人。来源：2.2、六·智能体组织；验收：对话预约/点餐成功后产生业务记录并可在页面查看。</t>
        </is>
      </c>
      <c r="G34" s="26" t="inlineStr">
        <is>
          <t>×</t>
        </is>
      </c>
      <c r="H34" s="26" t="inlineStr">
        <is>
          <t>×</t>
        </is>
      </c>
      <c r="I34" s="26" t="inlineStr">
        <is>
          <t>×</t>
        </is>
      </c>
      <c r="J34" s="26" t="inlineStr">
        <is>
          <t>高颢宸</t>
        </is>
      </c>
      <c r="K34" s="26" t="inlineStr">
        <is>
          <t>高颢宸</t>
        </is>
      </c>
    </row>
    <row r="35" ht="47.5" customHeight="1" s="19">
      <c r="A35" s="1" t="n"/>
      <c r="B35" s="26" t="n">
        <v>30</v>
      </c>
      <c r="C35" s="28" t="n"/>
      <c r="D35" s="28" t="inlineStr">
        <is>
          <t>协作可靠性</t>
        </is>
      </c>
      <c r="E35" s="28" t="inlineStr">
        <is>
          <t>调用超时与降级</t>
        </is>
      </c>
      <c r="F35" s="28" t="inlineStr">
        <is>
          <t>触发：领域智能体或工具调用超时（&gt;15秒）或失败。处理：管家向客人说明当前无法完成并给出页面替代路径（如「可直接在项目库预约」），记录失败日志；连续失败在机构端告警。输出：降级回复+失败日志。来源：新增（评审细化）；验收：单一智能体异常不阻塞其他功能。</t>
        </is>
      </c>
      <c r="G35" s="26" t="inlineStr">
        <is>
          <t>×</t>
        </is>
      </c>
      <c r="H35" s="26" t="inlineStr">
        <is>
          <t>×</t>
        </is>
      </c>
      <c r="I35" s="26" t="inlineStr">
        <is>
          <t>×</t>
        </is>
      </c>
      <c r="J35" s="26" t="inlineStr">
        <is>
          <t>高颢宸</t>
        </is>
      </c>
      <c r="K35" s="26" t="inlineStr">
        <is>
          <t>高颢宸</t>
        </is>
      </c>
    </row>
    <row r="36" ht="33" customHeight="1" s="19">
      <c r="A36" s="1" t="n"/>
      <c r="B36" s="26" t="n">
        <v>31</v>
      </c>
      <c r="C36" s="27" t="inlineStr">
        <is>
          <t>智能康养管家</t>
        </is>
      </c>
      <c r="D36" s="28" t="inlineStr">
        <is>
          <t>图3·对话页</t>
        </is>
      </c>
      <c r="E36" s="28" t="inlineStr">
        <is>
          <t>对话标题栏</t>
        </is>
      </c>
      <c r="F36" s="28" t="inlineStr">
        <is>
          <t>参照图3，图标1：显示「康养管家」+在线状态点（绿#52B788）+当前客人姓名。样式：20px加粗#1D3557，页头浅海蓝底#D9EDF7。来源：4.2</t>
        </is>
      </c>
      <c r="G36" s="26" t="inlineStr">
        <is>
          <t>×</t>
        </is>
      </c>
      <c r="H36" s="26" t="inlineStr">
        <is>
          <t>×</t>
        </is>
      </c>
      <c r="I36" s="26" t="inlineStr">
        <is>
          <t>×</t>
        </is>
      </c>
      <c r="J36" s="26" t="inlineStr">
        <is>
          <t>郭一甫</t>
        </is>
      </c>
      <c r="K36" s="26" t="inlineStr">
        <is>
          <t>高颢宸</t>
        </is>
      </c>
    </row>
    <row r="37" ht="47.5" customHeight="1" s="19">
      <c r="A37" s="1" t="n"/>
      <c r="B37" s="26" t="n">
        <v>32</v>
      </c>
      <c r="C37" s="28" t="n"/>
      <c r="D37" s="28" t="inlineStr">
        <is>
          <t>图3·对话页</t>
        </is>
      </c>
      <c r="E37" s="28" t="inlineStr">
        <is>
          <t>消息流区域</t>
        </is>
      </c>
      <c r="F37" s="28" t="inlineStr">
        <is>
          <t>参照图3，图标2：左右分列气泡——客人消息右侧（海洋蓝底#1A759F白字），管家回复左侧（白底深色字），圆角12px、正文18px；项目/餐食等结果以可点击卡片嵌入回复。动作：滚动加载历史消息；点击嵌入卡片跳转对应详情页。来源：4.2</t>
        </is>
      </c>
      <c r="G37" s="26" t="inlineStr">
        <is>
          <t>×</t>
        </is>
      </c>
      <c r="H37" s="26" t="inlineStr">
        <is>
          <t>×</t>
        </is>
      </c>
      <c r="I37" s="26" t="inlineStr">
        <is>
          <t>×</t>
        </is>
      </c>
      <c r="J37" s="26" t="inlineStr">
        <is>
          <t>郭一甫</t>
        </is>
      </c>
      <c r="K37" s="26" t="inlineStr">
        <is>
          <t>高颢宸</t>
        </is>
      </c>
    </row>
    <row r="38" ht="47.5" customHeight="1" s="19">
      <c r="A38" s="1" t="n"/>
      <c r="B38" s="26" t="n">
        <v>33</v>
      </c>
      <c r="C38" s="28" t="n"/>
      <c r="D38" s="28" t="inlineStr">
        <is>
          <t>图3·对话页</t>
        </is>
      </c>
      <c r="E38" s="28" t="inlineStr">
        <is>
          <t>输入区与快捷指令</t>
        </is>
      </c>
      <c r="F38" s="28" t="inlineStr">
        <is>
          <t>参照图3，图标3：底部输入框（占位「想和管家聊聊…」）+发送按钮（主色圆形）+快捷指令标签行（「今日安排」「我想换项目」「推荐三餐」等）。动作：Enter或点击发送；点击快捷指令直接发送对应请求。来源：4.2、5.1.2</t>
        </is>
      </c>
      <c r="G38" s="26" t="inlineStr">
        <is>
          <t>×</t>
        </is>
      </c>
      <c r="H38" s="26" t="inlineStr">
        <is>
          <t>×</t>
        </is>
      </c>
      <c r="I38" s="26" t="inlineStr">
        <is>
          <t>×</t>
        </is>
      </c>
      <c r="J38" s="26" t="inlineStr">
        <is>
          <t>郭一甫</t>
        </is>
      </c>
      <c r="K38" s="26" t="inlineStr">
        <is>
          <t>高颢宸</t>
        </is>
      </c>
    </row>
    <row r="39" ht="33" customHeight="1" s="19">
      <c r="A39" s="1" t="n"/>
      <c r="B39" s="26" t="n">
        <v>34</v>
      </c>
      <c r="C39" s="28" t="n"/>
      <c r="D39" s="28" t="inlineStr">
        <is>
          <t>图3·对话页</t>
        </is>
      </c>
      <c r="E39" s="28" t="inlineStr">
        <is>
          <t>思考中状态</t>
        </is>
      </c>
      <c r="F39" s="28" t="inlineStr">
        <is>
          <t>参照图3，图标4：管家处理期间显示三点跳动「正在思考…」动画（次要色#6C757D）。动作：期间禁用发送按钮防止重复提交。来源：新增（对应全局反馈规范）</t>
        </is>
      </c>
      <c r="G39" s="26" t="inlineStr">
        <is>
          <t>×</t>
        </is>
      </c>
      <c r="H39" s="26" t="inlineStr">
        <is>
          <t>×</t>
        </is>
      </c>
      <c r="I39" s="26" t="inlineStr">
        <is>
          <t>×</t>
        </is>
      </c>
      <c r="J39" s="26" t="inlineStr">
        <is>
          <t>郭一甫</t>
        </is>
      </c>
      <c r="K39" s="26" t="inlineStr">
        <is>
          <t>高颢宸</t>
        </is>
      </c>
    </row>
    <row r="40" ht="62" customHeight="1" s="19">
      <c r="A40" s="1" t="n"/>
      <c r="B40" s="26" t="n">
        <v>35</v>
      </c>
      <c r="C40" s="28" t="n"/>
      <c r="D40" s="28" t="inlineStr">
        <is>
          <t>对话式评估</t>
        </is>
      </c>
      <c r="E40" s="28" t="inlineStr">
        <is>
          <t>动态追问与模糊表达澄清</t>
        </is>
      </c>
      <c r="F40" s="28" t="inlineStr">
        <is>
          <t>触发：入住后首次对话或客人主动发起评估。输入：客人自然语言回答。处理：按评估骨架逐项收集（健康状况/作息/偏好），对模糊表达（如「睡得不太好」）与关键项（慢病用药控制情况）追问补充。输出：结构化评估结论并入健康档案。异常：客人中断时保存进度、下次继续。来源：4.2、5.1.2；验收：提及慢病可追问用药/控制情况，模糊睡眠描述可被澄清。</t>
        </is>
      </c>
      <c r="G40" s="26" t="inlineStr">
        <is>
          <t>×</t>
        </is>
      </c>
      <c r="H40" s="26" t="inlineStr">
        <is>
          <t>×</t>
        </is>
      </c>
      <c r="I40" s="26" t="inlineStr">
        <is>
          <t>×</t>
        </is>
      </c>
      <c r="J40" s="26" t="inlineStr">
        <is>
          <t>郭一甫</t>
        </is>
      </c>
      <c r="K40" s="26" t="inlineStr">
        <is>
          <t>高颢宸</t>
        </is>
      </c>
    </row>
    <row r="41" ht="62" customHeight="1" s="19">
      <c r="A41" s="1" t="n"/>
      <c r="B41" s="26" t="n">
        <v>36</v>
      </c>
      <c r="C41" s="28" t="n"/>
      <c r="D41" s="28" t="inlineStr">
        <is>
          <t>疗程生成</t>
        </is>
      </c>
      <c r="E41" s="28" t="inlineStr">
        <is>
          <t>七日疗程与周期调整</t>
        </is>
      </c>
      <c r="F41" s="28" t="inlineStr">
        <is>
          <t>触发：评估完成或客人要求重新生成。输入：评估结论+档案+入住时长。处理：调度各领域智能体产出项目/餐食/提醒，分时段编排（默认7日，住宿不足按实际天数）。输出：结构化疗程（进入图4展示与审核流转）。异常：无法满足的偏好记录原因并在说明中告知。来源：5.1.2；验收：默认覆盖7日，改变入住时长后周期相应变化。</t>
        </is>
      </c>
      <c r="G41" s="26" t="inlineStr">
        <is>
          <t>×</t>
        </is>
      </c>
      <c r="H41" s="26" t="inlineStr">
        <is>
          <t>×</t>
        </is>
      </c>
      <c r="I41" s="26" t="inlineStr">
        <is>
          <t>×</t>
        </is>
      </c>
      <c r="J41" s="26" t="inlineStr">
        <is>
          <t>郭一甫</t>
        </is>
      </c>
      <c r="K41" s="26" t="inlineStr">
        <is>
          <t>高颢宸</t>
        </is>
      </c>
    </row>
    <row r="42" ht="47.5" customHeight="1" s="19">
      <c r="A42" s="1" t="n"/>
      <c r="B42" s="26" t="n">
        <v>37</v>
      </c>
      <c r="C42" s="28" t="n"/>
      <c r="D42" s="28" t="inlineStr">
        <is>
          <t>疗程生成</t>
        </is>
      </c>
      <c r="E42" s="28" t="inlineStr">
        <is>
          <t>每日分时段编排规则</t>
        </is>
      </c>
      <c r="F42" s="28" t="inlineStr">
        <is>
          <t>处理规格：疗程每日按上午/下午/晚间三时段编排；水疗与运动项目不安排在餐后1小时内；项目时段须与开放时段、潮汐安全时段一致（联动图5校验）；每日附膳食建议、注意事项与健康禁忌说明。来源：5.1.2；验收：任一疗程日可见三时段安排及膳食、禁忌说明。</t>
        </is>
      </c>
      <c r="G42" s="26" t="inlineStr">
        <is>
          <t>×</t>
        </is>
      </c>
      <c r="H42" s="26" t="inlineStr">
        <is>
          <t>×</t>
        </is>
      </c>
      <c r="I42" s="26" t="inlineStr">
        <is>
          <t>×</t>
        </is>
      </c>
      <c r="J42" s="26" t="inlineStr">
        <is>
          <t>郭一甫</t>
        </is>
      </c>
      <c r="K42" s="26" t="inlineStr">
        <is>
          <t>高颢宸</t>
        </is>
      </c>
    </row>
    <row r="43" ht="47.5" customHeight="1" s="19">
      <c r="A43" s="1" t="n"/>
      <c r="B43" s="26" t="n">
        <v>38</v>
      </c>
      <c r="C43" s="28" t="n"/>
      <c r="D43" s="28" t="inlineStr">
        <is>
          <t>图4·疗程页</t>
        </is>
      </c>
      <c r="E43" s="28" t="inlineStr">
        <is>
          <t>疗程总览卡片</t>
        </is>
      </c>
      <c r="F43" s="28" t="inlineStr">
        <is>
          <t>参照图4，图标1：日期横滑条+当日疗程卡片——三时段项目块（时间、项目名、地点、状态标签：待审核橙#E76F51/已生效绿#52B788/已完成灰）、当日膳食建议区、注意事项与禁忌说明区（浅橙底#FDEBD0）。动作：点击项目块进入项目详情（图5）；左右切换日期。来源：5.1.1、5.1.2</t>
        </is>
      </c>
      <c r="G43" s="26" t="inlineStr">
        <is>
          <t>×</t>
        </is>
      </c>
      <c r="H43" s="26" t="inlineStr">
        <is>
          <t>×</t>
        </is>
      </c>
      <c r="I43" s="26" t="inlineStr">
        <is>
          <t>×</t>
        </is>
      </c>
      <c r="J43" s="26" t="inlineStr">
        <is>
          <t>郭一甫</t>
        </is>
      </c>
      <c r="K43" s="26" t="inlineStr">
        <is>
          <t>高颢宸</t>
        </is>
      </c>
    </row>
    <row r="44" ht="62" customHeight="1" s="19">
      <c r="A44" s="1" t="n"/>
      <c r="B44" s="26" t="n">
        <v>39</v>
      </c>
      <c r="C44" s="28" t="n"/>
      <c r="D44" s="28" t="inlineStr">
        <is>
          <t>疗程调整</t>
        </is>
      </c>
      <c r="E44" s="28" t="inlineStr">
        <is>
          <t>对话调整休息与更换</t>
        </is>
      </c>
      <c r="F44" s="28" t="inlineStr">
        <is>
          <t>触发：客人对话提出休息或更换项目（如「明天上午想休息」）。输入：调整请求+当前疗程+预约。处理：管家释放或替换对应时段预约（走同一安全/容量校验），更新疗程并同步机构端排期。输出：调整后疗程与预约单一致。异常：目标时段不可约时给出可选替代。来源：4.2、5.1.2；验收：提出休息后该时段疗程与预约一致释放，换项目后日程同步更新。</t>
        </is>
      </c>
      <c r="G44" s="26" t="inlineStr">
        <is>
          <t>×</t>
        </is>
      </c>
      <c r="H44" s="26" t="inlineStr">
        <is>
          <t>×</t>
        </is>
      </c>
      <c r="I44" s="26" t="inlineStr">
        <is>
          <t>×</t>
        </is>
      </c>
      <c r="J44" s="26" t="inlineStr">
        <is>
          <t>郭一甫</t>
        </is>
      </c>
      <c r="K44" s="26" t="inlineStr">
        <is>
          <t>高颢宸</t>
        </is>
      </c>
    </row>
    <row r="45" ht="62" customHeight="1" s="19">
      <c r="A45" s="1" t="n"/>
      <c r="B45" s="26" t="n">
        <v>40</v>
      </c>
      <c r="C45" s="28" t="n"/>
      <c r="D45" s="28" t="inlineStr">
        <is>
          <t>方案可解释</t>
        </is>
      </c>
      <c r="E45" s="28" t="inlineStr">
        <is>
          <t>依据与禁忌说明展示</t>
        </is>
      </c>
      <c r="F45" s="28" t="inlineStr">
        <is>
          <t>参照图4，图标2：疗程卡片「为什么这样安排」入口。动作：点击展开生成依据列表（引用档案条目、知识/规则编号、评估结论），禁忌说明以红#E63946显式标注；医护审核页（图9）展示同一依据。来源：5.1.1、5.1.2、5.2.1；验收：客人可查看注意事项与禁忌说明，医护可查看生成依据。</t>
        </is>
      </c>
      <c r="G45" s="26" t="inlineStr">
        <is>
          <t>×</t>
        </is>
      </c>
      <c r="H45" s="26" t="inlineStr">
        <is>
          <t>×</t>
        </is>
      </c>
      <c r="I45" s="26" t="inlineStr">
        <is>
          <t>×</t>
        </is>
      </c>
      <c r="J45" s="26" t="inlineStr">
        <is>
          <t>郭一甫</t>
        </is>
      </c>
      <c r="K45" s="26" t="inlineStr">
        <is>
          <t>高颢宸</t>
        </is>
      </c>
    </row>
    <row r="46" ht="33" customHeight="1" s="19">
      <c r="A46" s="1" t="n"/>
      <c r="B46" s="26" t="n">
        <v>41</v>
      </c>
      <c r="C46" s="27" t="inlineStr">
        <is>
          <t>海滨项目与预约</t>
        </is>
      </c>
      <c r="D46" s="28" t="inlineStr">
        <is>
          <t>图5·项目库页</t>
        </is>
      </c>
      <c r="E46" s="28" t="inlineStr">
        <is>
          <t>页面标题与分类筛选</t>
        </is>
      </c>
      <c r="F46" s="28" t="inlineStr">
        <is>
          <t>参照图5，图标1：标题「海滨项目库」（20px加粗）+分类Tab（全部/水疗类/运动类/亲海类）。动作：切换Tab过滤项目列表。来源：5.1.3</t>
        </is>
      </c>
      <c r="G46" s="26" t="inlineStr">
        <is>
          <t>×</t>
        </is>
      </c>
      <c r="H46" s="26" t="inlineStr">
        <is>
          <t>×</t>
        </is>
      </c>
      <c r="I46" s="26" t="inlineStr">
        <is>
          <t>×</t>
        </is>
      </c>
      <c r="J46" s="26" t="inlineStr">
        <is>
          <t>张文哲</t>
        </is>
      </c>
      <c r="K46" s="26" t="inlineStr">
        <is>
          <t>高颢宸</t>
        </is>
      </c>
    </row>
    <row r="47" ht="62" customHeight="1" s="19">
      <c r="A47" s="1" t="n"/>
      <c r="B47" s="26" t="n">
        <v>42</v>
      </c>
      <c r="C47" s="28" t="n"/>
      <c r="D47" s="28" t="inlineStr">
        <is>
          <t>图5·项目库页</t>
        </is>
      </c>
      <c r="E47" s="28" t="inlineStr">
        <is>
          <t>项目卡片列表</t>
        </is>
      </c>
      <c r="F47" s="28" t="inlineStr">
        <is>
          <t>参照图5，图标2：卡片含缩略图、项目名（18px加粗）、类别标签、强度等级（仅运动类：低/中/高，绿/橙/红）、适宜人群摘要、「查看详情」按钮。数据来源：项目库（水疗类=海水浴、海洋温泉、水疗SPA、海泥敷体；运动类=游泳训练、沙滩漫步、滨海徒步、晨间沙滩操；亲海类=赶海拾贝、观日出、海边摄影漫步）。动作：点击卡片进入详情页。来源：5.1.3、表3</t>
        </is>
      </c>
      <c r="G47" s="26" t="inlineStr">
        <is>
          <t>×</t>
        </is>
      </c>
      <c r="H47" s="26" t="inlineStr">
        <is>
          <t>×</t>
        </is>
      </c>
      <c r="I47" s="26" t="inlineStr">
        <is>
          <t>×</t>
        </is>
      </c>
      <c r="J47" s="26" t="inlineStr">
        <is>
          <t>张文哲</t>
        </is>
      </c>
      <c r="K47" s="26" t="inlineStr">
        <is>
          <t>高颢宸</t>
        </is>
      </c>
    </row>
    <row r="48" ht="33" customHeight="1" s="19">
      <c r="A48" s="1" t="n"/>
      <c r="B48" s="26" t="n">
        <v>43</v>
      </c>
      <c r="C48" s="28" t="n"/>
      <c r="D48" s="28" t="inlineStr">
        <is>
          <t>图5·项目库页</t>
        </is>
      </c>
      <c r="E48" s="28" t="inlineStr">
        <is>
          <t>搜索框</t>
        </is>
      </c>
      <c r="F48" s="28" t="inlineStr">
        <is>
          <t>参照图5，图标3：占位「搜索项目名称」。动作：输入关键词即时过滤列表；无结果显示「未找到相关项目」。来源：5.1.3（评审细化）</t>
        </is>
      </c>
      <c r="G48" s="26" t="inlineStr">
        <is>
          <t>×</t>
        </is>
      </c>
      <c r="H48" s="26" t="inlineStr">
        <is>
          <t>×</t>
        </is>
      </c>
      <c r="I48" s="26" t="inlineStr">
        <is>
          <t>×</t>
        </is>
      </c>
      <c r="J48" s="26" t="inlineStr">
        <is>
          <t>张文哲</t>
        </is>
      </c>
      <c r="K48" s="26" t="inlineStr">
        <is>
          <t>高颢宸</t>
        </is>
      </c>
    </row>
    <row r="49" ht="47.5" customHeight="1" s="19">
      <c r="A49" s="1" t="n"/>
      <c r="B49" s="26" t="n">
        <v>44</v>
      </c>
      <c r="C49" s="28" t="n"/>
      <c r="D49" s="28" t="inlineStr">
        <is>
          <t>图5·详情页</t>
        </is>
      </c>
      <c r="E49" s="28" t="inlineStr">
        <is>
          <t>项目信息区</t>
        </is>
      </c>
      <c r="F49" s="28" t="inlineStr">
        <is>
          <t>参照图5，图标4：项目名（22px加粗）、图文介绍、类别与强度标签、适宜人群、健康禁忌提示（红#E63946，如「高血压、心脏病客人慎泡温泉」）。数据来源：项目库+禁忌规则库。来源：5.1.3、5.2.1</t>
        </is>
      </c>
      <c r="G49" s="26" t="inlineStr">
        <is>
          <t>×</t>
        </is>
      </c>
      <c r="H49" s="26" t="inlineStr">
        <is>
          <t>×</t>
        </is>
      </c>
      <c r="I49" s="26" t="inlineStr">
        <is>
          <t>×</t>
        </is>
      </c>
      <c r="J49" s="26" t="inlineStr">
        <is>
          <t>张文哲</t>
        </is>
      </c>
      <c r="K49" s="26" t="inlineStr">
        <is>
          <t>高颢宸</t>
        </is>
      </c>
    </row>
    <row r="50" ht="33" customHeight="1" s="19">
      <c r="A50" s="1" t="n"/>
      <c r="B50" s="26" t="n">
        <v>45</v>
      </c>
      <c r="C50" s="28" t="n"/>
      <c r="D50" s="28" t="inlineStr">
        <is>
          <t>图5·详情页</t>
        </is>
      </c>
      <c r="E50" s="28" t="inlineStr">
        <is>
          <t>潮汐与海况状态条</t>
        </is>
      </c>
      <c r="F50" s="28" t="inlineStr">
        <is>
          <t>参照图5，图标5：详情页顶部状态条——当日潮汐摘要+海况等级（适宜绿/谨慎橙/不宜红，与图6天气潮汐卡同源数据）。动作：点击展开当日潮汐时刻曲线。来源：5.1.3、5.1.4</t>
        </is>
      </c>
      <c r="G50" s="26" t="inlineStr">
        <is>
          <t>×</t>
        </is>
      </c>
      <c r="H50" s="26" t="inlineStr">
        <is>
          <t>×</t>
        </is>
      </c>
      <c r="I50" s="26" t="inlineStr">
        <is>
          <t>×</t>
        </is>
      </c>
      <c r="J50" s="26" t="inlineStr">
        <is>
          <t>张文哲</t>
        </is>
      </c>
      <c r="K50" s="26" t="inlineStr">
        <is>
          <t>高颢宸</t>
        </is>
      </c>
    </row>
    <row r="51" ht="47.5" customHeight="1" s="19">
      <c r="A51" s="1" t="n"/>
      <c r="B51" s="26" t="n">
        <v>46</v>
      </c>
      <c r="C51" s="28" t="n"/>
      <c r="D51" s="28" t="inlineStr">
        <is>
          <t>图5·详情页</t>
        </is>
      </c>
      <c r="E51" s="28" t="inlineStr">
        <is>
          <t>可预约时段网格</t>
        </is>
      </c>
      <c r="F51" s="28" t="inlineStr">
        <is>
          <t>参照图5，图标6：日期×时段网格，每格显示剩余容量（如「余6/10」）。样式：可选格白底主色边框；已约满灰底#CCC；不安全时段灰底+红色潮汐图标+置灰原因（如「潮位过高」）。动作：点击可选格选中（高亮）后点「立即预约」提交。来源：5.1.3</t>
        </is>
      </c>
      <c r="G51" s="26" t="inlineStr">
        <is>
          <t>×</t>
        </is>
      </c>
      <c r="H51" s="26" t="inlineStr">
        <is>
          <t>×</t>
        </is>
      </c>
      <c r="I51" s="26" t="inlineStr">
        <is>
          <t>×</t>
        </is>
      </c>
      <c r="J51" s="26" t="inlineStr">
        <is>
          <t>张文哲</t>
        </is>
      </c>
      <c r="K51" s="26" t="inlineStr">
        <is>
          <t>高颢宸</t>
        </is>
      </c>
    </row>
    <row r="52" ht="47.5" customHeight="1" s="19">
      <c r="A52" s="1" t="n"/>
      <c r="B52" s="26" t="n">
        <v>47</v>
      </c>
      <c r="C52" s="28" t="n"/>
      <c r="D52" s="28" t="inlineStr">
        <is>
          <t>图5·详情页</t>
        </is>
      </c>
      <c r="E52" s="28" t="inlineStr">
        <is>
          <t>预约按钮与结果</t>
        </is>
      </c>
      <c r="F52" s="28" t="inlineStr">
        <is>
          <t>参照图5，图标7：主按钮「立即预约」（白字，背景#1A759F，高48px），未选时段时置灰。动作：提交前校验潮汐安全、容量、时段冲突；成功提示并生成预约单；失败提示具体原因（约满/不安全/时段冲突）。来源：5.1.3</t>
        </is>
      </c>
      <c r="G52" s="26" t="inlineStr">
        <is>
          <t>×</t>
        </is>
      </c>
      <c r="H52" s="26" t="inlineStr">
        <is>
          <t>×</t>
        </is>
      </c>
      <c r="I52" s="26" t="inlineStr">
        <is>
          <t>×</t>
        </is>
      </c>
      <c r="J52" s="26" t="inlineStr">
        <is>
          <t>张文哲</t>
        </is>
      </c>
      <c r="K52" s="26" t="inlineStr">
        <is>
          <t>高颢宸</t>
        </is>
      </c>
    </row>
    <row r="53" ht="33" customHeight="1" s="19">
      <c r="A53" s="1" t="n"/>
      <c r="B53" s="26" t="n">
        <v>48</v>
      </c>
      <c r="C53" s="28" t="n"/>
      <c r="D53" s="28" t="inlineStr">
        <is>
          <t>图5·详情页</t>
        </is>
      </c>
      <c r="E53" s="28" t="inlineStr">
        <is>
          <t>不安全时段置灰说明</t>
        </is>
      </c>
      <c r="F53" s="28" t="inlineStr">
        <is>
          <t>参照图5，图标8：不安全时段格内显示原因（潮位过高/风浪较大/紫外线过强）。动作：点击置灰格弹出原因说明及最近可选安全时段。来源：5.1.3；验收：置灰原因与该时段安全判定一致。</t>
        </is>
      </c>
      <c r="G53" s="26" t="inlineStr">
        <is>
          <t>×</t>
        </is>
      </c>
      <c r="H53" s="26" t="inlineStr">
        <is>
          <t>×</t>
        </is>
      </c>
      <c r="I53" s="26" t="inlineStr">
        <is>
          <t>×</t>
        </is>
      </c>
      <c r="J53" s="26" t="inlineStr">
        <is>
          <t>张文哲</t>
        </is>
      </c>
      <c r="K53" s="26" t="inlineStr">
        <is>
          <t>高颢宸</t>
        </is>
      </c>
    </row>
    <row r="54" ht="33" customHeight="1" s="19">
      <c r="A54" s="1" t="n"/>
      <c r="B54" s="26" t="n">
        <v>49</v>
      </c>
      <c r="C54" s="28" t="n"/>
      <c r="D54" s="28" t="inlineStr">
        <is>
          <t>图5·详情页</t>
        </is>
      </c>
      <c r="E54" s="28" t="inlineStr">
        <is>
          <t>我的预约列表</t>
        </is>
      </c>
      <c r="F54" s="28" t="inlineStr">
        <is>
          <t>参照图5，图标9：「我的预约」按日期分组列出预约卡（项目、时段、状态、取消按钮）。动作：点击「取消」二次确认后取消并释放容量。来源：5.1.3（评审细化）</t>
        </is>
      </c>
      <c r="G54" s="26" t="inlineStr">
        <is>
          <t>×</t>
        </is>
      </c>
      <c r="H54" s="26" t="inlineStr">
        <is>
          <t>×</t>
        </is>
      </c>
      <c r="I54" s="26" t="inlineStr">
        <is>
          <t>×</t>
        </is>
      </c>
      <c r="J54" s="26" t="inlineStr">
        <is>
          <t>张文哲</t>
        </is>
      </c>
      <c r="K54" s="26" t="inlineStr">
        <is>
          <t>高颢宸</t>
        </is>
      </c>
    </row>
    <row r="55" ht="62" customHeight="1" s="19">
      <c r="A55" s="1" t="n"/>
      <c r="B55" s="26" t="n">
        <v>50</v>
      </c>
      <c r="C55" s="28" t="n"/>
      <c r="D55" s="28" t="inlineStr">
        <is>
          <t>预约逻辑</t>
        </is>
      </c>
      <c r="E55" s="28" t="inlineStr">
        <is>
          <t>潮汐安全校验</t>
        </is>
      </c>
      <c r="F55" s="28" t="inlineStr">
        <is>
          <t>触发：页面或管家发起下海类项目（海水浴、游泳训练、赶海拾贝等，项目库「下海类」标记）预约。输入：目标时段+潮汐海况数据+安全规则。处理：判定该时段安全与否。输出：安全→放行预约；不安全→拒绝并返回原因。异常：潮汐数据缺失时按不安全处理并提示。来源：5.1.3；验收：不安全时段在页面与管家两入口均无法预约成功。</t>
        </is>
      </c>
      <c r="G55" s="26" t="inlineStr">
        <is>
          <t>×</t>
        </is>
      </c>
      <c r="H55" s="26" t="inlineStr">
        <is>
          <t>×</t>
        </is>
      </c>
      <c r="I55" s="26" t="inlineStr">
        <is>
          <t>×</t>
        </is>
      </c>
      <c r="J55" s="26" t="inlineStr">
        <is>
          <t>张文哲</t>
        </is>
      </c>
      <c r="K55" s="26" t="inlineStr">
        <is>
          <t>高颢宸</t>
        </is>
      </c>
    </row>
    <row r="56" ht="47.5" customHeight="1" s="19">
      <c r="A56" s="1" t="n"/>
      <c r="B56" s="26" t="n">
        <v>51</v>
      </c>
      <c r="C56" s="28" t="n"/>
      <c r="D56" s="28" t="inlineStr">
        <is>
          <t>预约逻辑</t>
        </is>
      </c>
      <c r="E56" s="28" t="inlineStr">
        <is>
          <t>容量控制与并发</t>
        </is>
      </c>
      <c r="F56" s="28" t="inlineStr">
        <is>
          <t>触发：预约提交。输入：时段容量上限+当前已约数。处理：原子校验并扣减容量，并发提交加锁与幂等控制。输出：成功生成预约单或失败（已约满）。异常：扣减失败回滚，成功数不超过上限。来源：5.1.3；验收：达到上限后不能继续预约，并发提交成功数≤上限。</t>
        </is>
      </c>
      <c r="G56" s="26" t="inlineStr">
        <is>
          <t>×</t>
        </is>
      </c>
      <c r="H56" s="26" t="inlineStr">
        <is>
          <t>×</t>
        </is>
      </c>
      <c r="I56" s="26" t="inlineStr">
        <is>
          <t>×</t>
        </is>
      </c>
      <c r="J56" s="26" t="inlineStr">
        <is>
          <t>张文哲</t>
        </is>
      </c>
      <c r="K56" s="26" t="inlineStr">
        <is>
          <t>高颢宸</t>
        </is>
      </c>
    </row>
    <row r="57" ht="62" customHeight="1" s="19">
      <c r="A57" s="1" t="n"/>
      <c r="B57" s="26" t="n">
        <v>52</v>
      </c>
      <c r="C57" s="28" t="n"/>
      <c r="D57" s="28" t="inlineStr">
        <is>
          <t>预约逻辑</t>
        </is>
      </c>
      <c r="E57" s="28" t="inlineStr">
        <is>
          <t>管家代办预约</t>
        </is>
      </c>
      <c r="F57" s="28" t="inlineStr">
        <is>
          <t>触发：对话中表达预约意图（项目+时间）。输入：意图要素（缺时间时管家追问）。处理：与页面预约走同一潮汐安全/容量校验与工具接口。输出：预约单+对话确认回复。异常：要素不全两次仍不明确时引导打开图5页面预约。来源：5.1.3；验收：对话与页面预约遵循相同规则、结果一致。</t>
        </is>
      </c>
      <c r="G57" s="26" t="inlineStr">
        <is>
          <t>×</t>
        </is>
      </c>
      <c r="H57" s="26" t="inlineStr">
        <is>
          <t>×</t>
        </is>
      </c>
      <c r="I57" s="26" t="inlineStr">
        <is>
          <t>×</t>
        </is>
      </c>
      <c r="J57" s="26" t="inlineStr">
        <is>
          <t>张文哲</t>
        </is>
      </c>
      <c r="K57" s="26" t="inlineStr">
        <is>
          <t>高颢宸</t>
        </is>
      </c>
    </row>
    <row r="58" ht="47.5" customHeight="1" s="19">
      <c r="A58" s="1" t="n"/>
      <c r="B58" s="26" t="n">
        <v>53</v>
      </c>
      <c r="C58" s="28" t="n"/>
      <c r="D58" s="28" t="inlineStr">
        <is>
          <t>预约结果</t>
        </is>
      </c>
      <c r="E58" s="28" t="inlineStr">
        <is>
          <t>预约单结构与日程同步</t>
        </is>
      </c>
      <c r="F58" s="28" t="inlineStr">
        <is>
          <t>数据规格：预约单字段=编号、客人、项目、日期时段、状态（待执行/已完成/已取消）、创建入口（页面/管家）、创建时间；预约成功后自动进入客人日程（图4）。来源：4.2、5.1.3；验收：预约成功后日程出现相同项目与时段，页面与对话入口结果一致。</t>
        </is>
      </c>
      <c r="G58" s="26" t="inlineStr">
        <is>
          <t>×</t>
        </is>
      </c>
      <c r="H58" s="26" t="inlineStr">
        <is>
          <t>×</t>
        </is>
      </c>
      <c r="I58" s="26" t="inlineStr">
        <is>
          <t>×</t>
        </is>
      </c>
      <c r="J58" s="26" t="inlineStr">
        <is>
          <t>张文哲</t>
        </is>
      </c>
      <c r="K58" s="26" t="inlineStr">
        <is>
          <t>高颢宸</t>
        </is>
      </c>
    </row>
    <row r="59" ht="47.5" customHeight="1" s="19">
      <c r="A59" s="1" t="n"/>
      <c r="B59" s="26" t="n">
        <v>54</v>
      </c>
      <c r="C59" s="28" t="n"/>
      <c r="D59" s="28" t="inlineStr">
        <is>
          <t>项目库管理</t>
        </is>
      </c>
      <c r="E59" s="28" t="inlineStr">
        <is>
          <t>项目数据结构</t>
        </is>
      </c>
      <c r="F59" s="28" t="inlineStr">
        <is>
          <t>数据规格：项目记录=编号、名称、类别（水疗/运动/亲海）、强度等级（仅运动类）、介绍图文、适宜人群、禁忌标签、开放时段、时段容量、是否下海类（联动潮汐校验）。来源：5.1.3、表3；验收：项目库四类水疗、四项运动、三项亲海项目齐全可浏览，运动类可区分强度等级。</t>
        </is>
      </c>
      <c r="G59" s="26" t="inlineStr">
        <is>
          <t>×</t>
        </is>
      </c>
      <c r="H59" s="26" t="inlineStr">
        <is>
          <t>×</t>
        </is>
      </c>
      <c r="I59" s="26" t="inlineStr">
        <is>
          <t>×</t>
        </is>
      </c>
      <c r="J59" s="26" t="inlineStr">
        <is>
          <t>张文哲</t>
        </is>
      </c>
      <c r="K59" s="26" t="inlineStr">
        <is>
          <t>高颢宸</t>
        </is>
      </c>
    </row>
    <row r="60" ht="33" customHeight="1" s="19">
      <c r="A60" s="1" t="n"/>
      <c r="B60" s="26" t="n">
        <v>55</v>
      </c>
      <c r="C60" s="27" t="inlineStr">
        <is>
          <t>每日简报与日程</t>
        </is>
      </c>
      <c r="D60" s="28" t="inlineStr">
        <is>
          <t>图6·简报页</t>
        </is>
      </c>
      <c r="E60" s="28" t="inlineStr">
        <is>
          <t>简报头部</t>
        </is>
      </c>
      <c r="F60" s="28" t="inlineStr">
        <is>
          <t>参照图6，图标1：问候语（「早上好，X先生/女士」）+日期+「疗养第N天」。样式：标题22px加粗，头部浅海蓝渐变底（#D9EDF7→#FDF6EC）。来源：5.1.4</t>
        </is>
      </c>
      <c r="G60" s="26" t="inlineStr">
        <is>
          <t>×</t>
        </is>
      </c>
      <c r="H60" s="26" t="inlineStr">
        <is>
          <t>×</t>
        </is>
      </c>
      <c r="I60" s="26" t="inlineStr">
        <is>
          <t>×</t>
        </is>
      </c>
      <c r="J60" s="26" t="inlineStr">
        <is>
          <t>张文哲</t>
        </is>
      </c>
      <c r="K60" s="26" t="inlineStr">
        <is>
          <t>高颢宸</t>
        </is>
      </c>
    </row>
    <row r="61" ht="33" customHeight="1" s="19">
      <c r="A61" s="1" t="n"/>
      <c r="B61" s="26" t="n">
        <v>56</v>
      </c>
      <c r="C61" s="28" t="n"/>
      <c r="D61" s="28" t="inlineStr">
        <is>
          <t>图6·简报页</t>
        </is>
      </c>
      <c r="E61" s="28" t="inlineStr">
        <is>
          <t>今日安排摘要卡</t>
        </is>
      </c>
      <c r="F61" s="28" t="inlineStr">
        <is>
          <t>参照图6，图标2：列出当日三时段项目（时间+名称+状态）。动作：点击任一条跳转图4当日日程详情。数据来源：当日疗程。来源：5.1.4；验收：简报安排与当日日程一致。</t>
        </is>
      </c>
      <c r="G61" s="26" t="inlineStr">
        <is>
          <t>×</t>
        </is>
      </c>
      <c r="H61" s="26" t="inlineStr">
        <is>
          <t>×</t>
        </is>
      </c>
      <c r="I61" s="26" t="inlineStr">
        <is>
          <t>×</t>
        </is>
      </c>
      <c r="J61" s="26" t="inlineStr">
        <is>
          <t>张文哲</t>
        </is>
      </c>
      <c r="K61" s="26" t="inlineStr">
        <is>
          <t>高颢宸</t>
        </is>
      </c>
    </row>
    <row r="62" ht="47.5" customHeight="1" s="19">
      <c r="A62" s="1" t="n"/>
      <c r="B62" s="26" t="n">
        <v>57</v>
      </c>
      <c r="C62" s="28" t="n"/>
      <c r="D62" s="28" t="inlineStr">
        <is>
          <t>图6·简报页</t>
        </is>
      </c>
      <c r="E62" s="28" t="inlineStr">
        <is>
          <t>天气与潮汐海况卡</t>
        </is>
      </c>
      <c r="F62" s="28" t="inlineStr">
        <is>
          <t>参照图6，图标3：当日天气（温度、风、紫外线等级）+潮汐摘要（满/干潮时刻、海况等级色标，与图5状态条同源）。数据来源：天气潮汐数据（每日更新）。来源：5.1.4；验收：与当日实际数据一致。</t>
        </is>
      </c>
      <c r="G62" s="26" t="inlineStr">
        <is>
          <t>×</t>
        </is>
      </c>
      <c r="H62" s="26" t="inlineStr">
        <is>
          <t>×</t>
        </is>
      </c>
      <c r="I62" s="26" t="inlineStr">
        <is>
          <t>×</t>
        </is>
      </c>
      <c r="J62" s="26" t="inlineStr">
        <is>
          <t>张文哲</t>
        </is>
      </c>
      <c r="K62" s="26" t="inlineStr">
        <is>
          <t>高颢宸</t>
        </is>
      </c>
    </row>
    <row r="63" ht="47.5" customHeight="1" s="19">
      <c r="A63" s="1" t="n"/>
      <c r="B63" s="26" t="n">
        <v>58</v>
      </c>
      <c r="C63" s="28" t="n"/>
      <c r="D63" s="28" t="inlineStr">
        <is>
          <t>图6·简报页</t>
        </is>
      </c>
      <c r="E63" s="28" t="inlineStr">
        <is>
          <t>健康提醒卡</t>
        </is>
      </c>
      <c r="F63" s="28" t="inlineStr">
        <is>
          <t>参照图6，图标4：按档案与当日安排生成提醒——服药（按用药记录时段）、防晒（紫外线等级高时）、禁忌事项（关联当日项目）。样式：提醒橙#E76F51图标+文字列表。来源：5.1.4；验收：提醒与客人档案、当日安排及环境情况对应。</t>
        </is>
      </c>
      <c r="G63" s="26" t="inlineStr">
        <is>
          <t>×</t>
        </is>
      </c>
      <c r="H63" s="26" t="inlineStr">
        <is>
          <t>×</t>
        </is>
      </c>
      <c r="I63" s="26" t="inlineStr">
        <is>
          <t>×</t>
        </is>
      </c>
      <c r="J63" s="26" t="inlineStr">
        <is>
          <t>张文哲</t>
        </is>
      </c>
      <c r="K63" s="26" t="inlineStr">
        <is>
          <t>高颢宸</t>
        </is>
      </c>
    </row>
    <row r="64" ht="47.5" customHeight="1" s="19">
      <c r="A64" s="1" t="n"/>
      <c r="B64" s="26" t="n">
        <v>59</v>
      </c>
      <c r="C64" s="28" t="n"/>
      <c r="D64" s="28" t="inlineStr">
        <is>
          <t>简报逻辑</t>
        </is>
      </c>
      <c r="E64" s="28" t="inlineStr">
        <is>
          <t>清晨推送</t>
        </is>
      </c>
      <c r="F64" s="28" t="inlineStr">
        <is>
          <t>触发：每日07:00定时任务。输入：当日疗程+天气潮汐数据+档案提醒项。处理：渲染简报并推送（站内通知+对话页首条消息）。输出：客人当日收到简报。异常：某类数据缺失时该项显示「暂无数据」，不阻塞推送。来源：5.1.4；验收：触发时客人收到当日内容，安排与日程一致。</t>
        </is>
      </c>
      <c r="G64" s="26" t="inlineStr">
        <is>
          <t>×</t>
        </is>
      </c>
      <c r="H64" s="26" t="inlineStr">
        <is>
          <t>×</t>
        </is>
      </c>
      <c r="I64" s="26" t="inlineStr">
        <is>
          <t>×</t>
        </is>
      </c>
      <c r="J64" s="26" t="inlineStr">
        <is>
          <t>张文哲</t>
        </is>
      </c>
      <c r="K64" s="26" t="inlineStr">
        <is>
          <t>高颢宸</t>
        </is>
      </c>
    </row>
    <row r="65" ht="47.5" customHeight="1" s="19">
      <c r="A65" s="1" t="n"/>
      <c r="B65" s="26" t="n">
        <v>60</v>
      </c>
      <c r="C65" s="28" t="n"/>
      <c r="D65" s="28" t="inlineStr">
        <is>
          <t>图4·日程页</t>
        </is>
      </c>
      <c r="E65" s="28" t="inlineStr">
        <is>
          <t>当日时间线</t>
        </is>
      </c>
      <c r="F65" s="28" t="inlineStr">
        <is>
          <t>参照图4，图标3：纵向时间线——当前时刻高亮线；已完成项目灰化、进行中主色高亮、待开始正常；每项含时间、项目、地点、状态。动作：点击项目块进入详情或打卡。来源：5.1.4；验收：时间先后关系与预约结果一致。</t>
        </is>
      </c>
      <c r="G65" s="26" t="inlineStr">
        <is>
          <t>×</t>
        </is>
      </c>
      <c r="H65" s="26" t="inlineStr">
        <is>
          <t>×</t>
        </is>
      </c>
      <c r="I65" s="26" t="inlineStr">
        <is>
          <t>×</t>
        </is>
      </c>
      <c r="J65" s="26" t="inlineStr">
        <is>
          <t>张文哲</t>
        </is>
      </c>
      <c r="K65" s="26" t="inlineStr">
        <is>
          <t>高颢宸</t>
        </is>
      </c>
    </row>
    <row r="66" ht="33" customHeight="1" s="19">
      <c r="A66" s="1" t="n"/>
      <c r="B66" s="26" t="n">
        <v>61</v>
      </c>
      <c r="C66" s="28" t="n"/>
      <c r="D66" s="28" t="inlineStr">
        <is>
          <t>图4·日程页</t>
        </is>
      </c>
      <c r="E66" s="28" t="inlineStr">
        <is>
          <t>全疗程视图切换</t>
        </is>
      </c>
      <c r="F66" s="28" t="inlineStr">
        <is>
          <t>参照图4，图标4：Tab「当日/全疗程」——全疗程以周历展示每日概要（项目数+状态）。动作：点击某日跳转当日时间线。来源：5.1.4；验收：可查看全周期项目安排。</t>
        </is>
      </c>
      <c r="G66" s="26" t="inlineStr">
        <is>
          <t>×</t>
        </is>
      </c>
      <c r="H66" s="26" t="inlineStr">
        <is>
          <t>×</t>
        </is>
      </c>
      <c r="I66" s="26" t="inlineStr">
        <is>
          <t>×</t>
        </is>
      </c>
      <c r="J66" s="26" t="inlineStr">
        <is>
          <t>张文哲</t>
        </is>
      </c>
      <c r="K66" s="26" t="inlineStr">
        <is>
          <t>高颢宸</t>
        </is>
      </c>
    </row>
    <row r="67" ht="33" customHeight="1" s="19">
      <c r="A67" s="1" t="n"/>
      <c r="B67" s="26" t="n">
        <v>62</v>
      </c>
      <c r="C67" s="28" t="n"/>
      <c r="D67" s="28" t="inlineStr">
        <is>
          <t>到点提醒</t>
        </is>
      </c>
      <c r="E67" s="28" t="inlineStr">
        <is>
          <t>项目开始提醒</t>
        </is>
      </c>
      <c r="F67" s="28" t="inlineStr">
        <is>
          <t>参照图4，图标5：项目开始前15分钟提醒（浏览器通知+对话页消息），内容含项目名、时间、地点。样式：主色横幅。来源：5.1.4；验收：到点提醒项目名称与时段准确。</t>
        </is>
      </c>
      <c r="G67" s="26" t="inlineStr">
        <is>
          <t>×</t>
        </is>
      </c>
      <c r="H67" s="26" t="inlineStr">
        <is>
          <t>×</t>
        </is>
      </c>
      <c r="I67" s="26" t="inlineStr">
        <is>
          <t>×</t>
        </is>
      </c>
      <c r="J67" s="26" t="inlineStr">
        <is>
          <t>张文哲</t>
        </is>
      </c>
      <c r="K67" s="26" t="inlineStr">
        <is>
          <t>高颢宸</t>
        </is>
      </c>
    </row>
    <row r="68" ht="47.5" customHeight="1" s="19">
      <c r="A68" s="1" t="n"/>
      <c r="B68" s="26" t="n">
        <v>63</v>
      </c>
      <c r="C68" s="28" t="n"/>
      <c r="D68" s="28" t="inlineStr">
        <is>
          <t>执行反馈</t>
        </is>
      </c>
      <c r="E68" s="28" t="inlineStr">
        <is>
          <t>项目打卡与感受反馈</t>
        </is>
      </c>
      <c r="F68" s="28" t="inlineStr">
        <is>
          <t>参照图4，图标6：项目开始后出现「打卡」按钮。动作：点击标记完成并弹出感受反馈（身体感受：轻松/一般/疲惫+可选一句话）；数据写入执行反馈记录。来源：5.1.4；验收：打卡与感受关联项目可查，疗程调整时可读取。</t>
        </is>
      </c>
      <c r="G68" s="26" t="inlineStr">
        <is>
          <t>×</t>
        </is>
      </c>
      <c r="H68" s="26" t="inlineStr">
        <is>
          <t>×</t>
        </is>
      </c>
      <c r="I68" s="26" t="inlineStr">
        <is>
          <t>×</t>
        </is>
      </c>
      <c r="J68" s="26" t="inlineStr">
        <is>
          <t>张文哲</t>
        </is>
      </c>
      <c r="K68" s="26" t="inlineStr">
        <is>
          <t>高颢宸</t>
        </is>
      </c>
    </row>
    <row r="69" ht="33" customHeight="1" s="19">
      <c r="A69" s="1" t="n"/>
      <c r="B69" s="26" t="n">
        <v>64</v>
      </c>
      <c r="C69" s="28" t="n"/>
      <c r="D69" s="28" t="inlineStr">
        <is>
          <t>执行反馈</t>
        </is>
      </c>
      <c r="E69" s="28" t="inlineStr">
        <is>
          <t>反馈记录查看</t>
        </is>
      </c>
      <c r="F69" s="28" t="inlineStr">
        <is>
          <t>参照图4，图标7：「我的反馈」按日期列出打卡项目与感受。动作：当日记录可补充修改（24点前）。来源：5.1.4（评审细化）</t>
        </is>
      </c>
      <c r="G69" s="26" t="inlineStr">
        <is>
          <t>×</t>
        </is>
      </c>
      <c r="H69" s="26" t="inlineStr">
        <is>
          <t>×</t>
        </is>
      </c>
      <c r="I69" s="26" t="inlineStr">
        <is>
          <t>×</t>
        </is>
      </c>
      <c r="J69" s="26" t="inlineStr">
        <is>
          <t>张文哲</t>
        </is>
      </c>
      <c r="K69" s="26" t="inlineStr">
        <is>
          <t>高颢宸</t>
        </is>
      </c>
    </row>
    <row r="70" ht="33" customHeight="1" s="19">
      <c r="A70" s="1" t="n"/>
      <c r="B70" s="26" t="n">
        <v>65</v>
      </c>
      <c r="C70" s="27" t="inlineStr">
        <is>
          <t>膳食营养</t>
        </is>
      </c>
      <c r="D70" s="28" t="inlineStr">
        <is>
          <t>图7·膳食页</t>
        </is>
      </c>
      <c r="E70" s="28" t="inlineStr">
        <is>
          <t>页面标题与日期切换</t>
        </is>
      </c>
      <c r="F70" s="28" t="inlineStr">
        <is>
          <t>参照图7，图标1：标题「今日膳食」+日期左右切换箭头。动作：切换查看不同日期三餐推荐。来源：5.1.5</t>
        </is>
      </c>
      <c r="G70" s="26" t="inlineStr">
        <is>
          <t>×</t>
        </is>
      </c>
      <c r="H70" s="26" t="inlineStr">
        <is>
          <t>×</t>
        </is>
      </c>
      <c r="I70" s="26" t="inlineStr">
        <is>
          <t>×</t>
        </is>
      </c>
      <c r="J70" s="26" t="inlineStr">
        <is>
          <t>沈煜凯</t>
        </is>
      </c>
      <c r="K70" s="26" t="inlineStr">
        <is>
          <t>高颢宸</t>
        </is>
      </c>
    </row>
    <row r="71" ht="47.5" customHeight="1" s="19">
      <c r="A71" s="1" t="n"/>
      <c r="B71" s="26" t="n">
        <v>66</v>
      </c>
      <c r="C71" s="28" t="n"/>
      <c r="D71" s="28" t="inlineStr">
        <is>
          <t>图7·膳食页</t>
        </is>
      </c>
      <c r="E71" s="28" t="inlineStr">
        <is>
          <t>三餐推荐卡</t>
        </is>
      </c>
      <c r="F71" s="28" t="inlineStr">
        <is>
          <t>参照图7，图标2：早/中/晚三卡——餐次标题（18px加粗）、菜品列表（主菜/配菜/汤）、热量与营养标签、忌口校验标识（如「已避开：虾」）。数据来源：营养师智能体推荐。来源：5.1.5；验收：推荐避开档案中过敏源与忌口。</t>
        </is>
      </c>
      <c r="G71" s="26" t="inlineStr">
        <is>
          <t>×</t>
        </is>
      </c>
      <c r="H71" s="26" t="inlineStr">
        <is>
          <t>×</t>
        </is>
      </c>
      <c r="I71" s="26" t="inlineStr">
        <is>
          <t>×</t>
        </is>
      </c>
      <c r="J71" s="26" t="inlineStr">
        <is>
          <t>沈煜凯</t>
        </is>
      </c>
      <c r="K71" s="26" t="inlineStr">
        <is>
          <t>高颢宸</t>
        </is>
      </c>
    </row>
    <row r="72" ht="47.5" customHeight="1" s="19">
      <c r="A72" s="1" t="n"/>
      <c r="B72" s="26" t="n">
        <v>67</v>
      </c>
      <c r="C72" s="28" t="n"/>
      <c r="D72" s="28" t="inlineStr">
        <is>
          <t>图7·膳食页</t>
        </is>
      </c>
      <c r="E72" s="28" t="inlineStr">
        <is>
          <t>换菜按钮</t>
        </is>
      </c>
      <c r="F72" s="28" t="inlineStr">
        <is>
          <t>参照图7，图标3：每餐卡右上「换一个」按钮。动作：点击弹出换菜面板，可选原因（不想吃/过敏/口味）；提交后营养师重新推荐该道菜并更新显示（仍受档案约束）。来源：5.1.5；验收：换菜后新菜仍符合档案约束。</t>
        </is>
      </c>
      <c r="G72" s="26" t="inlineStr">
        <is>
          <t>×</t>
        </is>
      </c>
      <c r="H72" s="26" t="inlineStr">
        <is>
          <t>×</t>
        </is>
      </c>
      <c r="I72" s="26" t="inlineStr">
        <is>
          <t>×</t>
        </is>
      </c>
      <c r="J72" s="26" t="inlineStr">
        <is>
          <t>沈煜凯</t>
        </is>
      </c>
      <c r="K72" s="26" t="inlineStr">
        <is>
          <t>高颢宸</t>
        </is>
      </c>
    </row>
    <row r="73" ht="47.5" customHeight="1" s="19">
      <c r="A73" s="1" t="n"/>
      <c r="B73" s="26" t="n">
        <v>68</v>
      </c>
      <c r="C73" s="28" t="n"/>
      <c r="D73" s="28" t="inlineStr">
        <is>
          <t>图7·膳食页</t>
        </is>
      </c>
      <c r="E73" s="28" t="inlineStr">
        <is>
          <t>点餐预约按钮</t>
        </is>
      </c>
      <c r="F73" s="28" t="inlineStr">
        <is>
          <t>参照图7，图标4：主按钮「预约点餐」（白字，背景#1A759F）。动作：按当日推荐发起点餐，调用膳食服务生成点餐记录并显示预计送餐时间；也可在对话中表达（如「晚上想吃鱼」）由管家代办。来源：5.1.5；验收：点餐成功生成记录并展示结果。</t>
        </is>
      </c>
      <c r="G73" s="26" t="inlineStr">
        <is>
          <t>×</t>
        </is>
      </c>
      <c r="H73" s="26" t="inlineStr">
        <is>
          <t>×</t>
        </is>
      </c>
      <c r="I73" s="26" t="inlineStr">
        <is>
          <t>×</t>
        </is>
      </c>
      <c r="J73" s="26" t="inlineStr">
        <is>
          <t>沈煜凯</t>
        </is>
      </c>
      <c r="K73" s="26" t="inlineStr">
        <is>
          <t>高颢宸</t>
        </is>
      </c>
    </row>
    <row r="74" ht="47.5" customHeight="1" s="19">
      <c r="A74" s="1" t="n"/>
      <c r="B74" s="26" t="n">
        <v>69</v>
      </c>
      <c r="C74" s="29" t="n"/>
      <c r="D74" s="29" t="inlineStr">
        <is>
          <t>推荐逻辑</t>
        </is>
      </c>
      <c r="E74" s="29" t="inlineStr">
        <is>
          <t>三餐生成</t>
        </is>
      </c>
      <c r="F74" s="29" t="inlineStr">
        <is>
          <t>触发：每日三餐生成或客人请求。输入：档案（健康/过敏/忌口）+菜品库。处理：硬性排除过敏忌口菜品，以海鲜及本地膳食为主搭配。输出：三餐推荐。异常：约束过强可选不足时提示并仅放宽非安全项。来源：5.1.5；验收：每日可查看三餐建议且避开过敏忌口。</t>
        </is>
      </c>
      <c r="G74" s="30" t="inlineStr">
        <is>
          <t>×</t>
        </is>
      </c>
      <c r="H74" s="30" t="inlineStr">
        <is>
          <t>×</t>
        </is>
      </c>
      <c r="I74" s="30" t="inlineStr">
        <is>
          <t>×</t>
        </is>
      </c>
      <c r="J74" s="30" t="inlineStr">
        <is>
          <t>沈煜凯</t>
        </is>
      </c>
      <c r="K74" s="30" t="inlineStr">
        <is>
          <t>高颢宸</t>
        </is>
      </c>
    </row>
    <row r="75" ht="47.5" customHeight="1" s="19">
      <c r="A75" s="1" t="n"/>
      <c r="B75" s="26" t="n">
        <v>70</v>
      </c>
      <c r="C75" s="29" t="n"/>
      <c r="D75" s="29" t="inlineStr">
        <is>
          <t>推荐逻辑</t>
        </is>
      </c>
      <c r="E75" s="29" t="inlineStr">
        <is>
          <t>客群差异化策略</t>
        </is>
      </c>
      <c r="F75" s="29" t="inlineStr">
        <is>
          <t>处理规格：同一菜品库下，长者档案倾向低钠低糖、软烂易嚼搭配；减压中青年侧重助眠食材与优质蛋白；客群策略叠加个人过敏忌口硬约束。来源：5.1.5；验收：切换对应画像档案后搭配体现策略差异且仍遵循个人约束。</t>
        </is>
      </c>
      <c r="G75" s="30" t="inlineStr">
        <is>
          <t>×</t>
        </is>
      </c>
      <c r="H75" s="30" t="inlineStr">
        <is>
          <t>×</t>
        </is>
      </c>
      <c r="I75" s="30" t="inlineStr">
        <is>
          <t>×</t>
        </is>
      </c>
      <c r="J75" s="30" t="inlineStr">
        <is>
          <t>沈煜凯</t>
        </is>
      </c>
      <c r="K75" s="30" t="inlineStr">
        <is>
          <t>高颢宸</t>
        </is>
      </c>
    </row>
    <row r="76" ht="47.5" customHeight="1" s="19">
      <c r="A76" s="1" t="n"/>
      <c r="B76" s="26" t="n">
        <v>71</v>
      </c>
      <c r="C76" s="29" t="n"/>
      <c r="D76" s="29" t="inlineStr">
        <is>
          <t>对话调整</t>
        </is>
      </c>
      <c r="E76" s="29" t="inlineStr">
        <is>
          <t>换菜对话流程</t>
        </is>
      </c>
      <c r="F76" s="29" t="inlineStr">
        <is>
          <t>触发：客人对话提出换菜（如「中午的鱼换成鸡肉」）。输入：请求+当日菜单+档案。处理：营养师重新推荐，更新菜单；如已点餐同步变更点餐记录。输出：更新后菜单展示。异常：请求命中忌口时说明原因并给替代建议。来源：5.1.5；验收：换菜后显示更新内容且替换菜品符合约束。</t>
        </is>
      </c>
      <c r="G76" s="30" t="inlineStr">
        <is>
          <t>×</t>
        </is>
      </c>
      <c r="H76" s="30" t="inlineStr">
        <is>
          <t>×</t>
        </is>
      </c>
      <c r="I76" s="30" t="inlineStr">
        <is>
          <t>×</t>
        </is>
      </c>
      <c r="J76" s="30" t="inlineStr">
        <is>
          <t>沈煜凯</t>
        </is>
      </c>
      <c r="K76" s="30" t="inlineStr">
        <is>
          <t>高颢宸</t>
        </is>
      </c>
    </row>
    <row r="77" ht="47.5" customHeight="1" s="19">
      <c r="A77" s="1" t="n"/>
      <c r="B77" s="26" t="n">
        <v>72</v>
      </c>
      <c r="C77" s="28" t="n"/>
      <c r="D77" s="28" t="inlineStr">
        <is>
          <t>点餐记录</t>
        </is>
      </c>
      <c r="E77" s="28" t="inlineStr">
        <is>
          <t>点餐单结构</t>
        </is>
      </c>
      <c r="F77" s="28" t="inlineStr">
        <is>
          <t>数据规格：点餐单=编号、客人、日期餐次、菜品清单、状态（已约/备餐中/已送达）、创建入口（页面/对话）；配餐员视图（图10）同步可见。来源：5.1.5、5.2.2；验收：点餐记录客人端与机构端一致可查。</t>
        </is>
      </c>
      <c r="G77" s="26" t="inlineStr">
        <is>
          <t>×</t>
        </is>
      </c>
      <c r="H77" s="26" t="inlineStr">
        <is>
          <t>×</t>
        </is>
      </c>
      <c r="I77" s="26" t="inlineStr">
        <is>
          <t>×</t>
        </is>
      </c>
      <c r="J77" s="26" t="inlineStr">
        <is>
          <t>沈煜凯</t>
        </is>
      </c>
      <c r="K77" s="26" t="inlineStr">
        <is>
          <t>高颢宸</t>
        </is>
      </c>
    </row>
    <row r="78" ht="33" customHeight="1" s="19">
      <c r="B78" s="30" t="n">
        <v>73</v>
      </c>
      <c r="C78" s="31" t="inlineStr">
        <is>
          <t>心理陪伴</t>
        </is>
      </c>
      <c r="D78" s="29" t="inlineStr">
        <is>
          <t>图8·陪伴页</t>
        </is>
      </c>
      <c r="E78" s="29" t="inlineStr">
        <is>
          <t>陪伴入口与心情快捷选择</t>
        </is>
      </c>
      <c r="F78" s="29" t="inlineStr">
        <is>
          <t>参照图8，图标1：「心情陪伴」页签顶部问候+心情快捷选择（平静/轻松/烦闷/疲惫，配表情图标）。动作：点击即记录当日心情并进入陪伴对话。来源：5.1.6</t>
        </is>
      </c>
      <c r="G78" s="30" t="inlineStr">
        <is>
          <t>×</t>
        </is>
      </c>
      <c r="H78" s="30" t="inlineStr">
        <is>
          <t>×</t>
        </is>
      </c>
      <c r="I78" s="30" t="inlineStr">
        <is>
          <t>×</t>
        </is>
      </c>
      <c r="J78" s="30" t="inlineStr">
        <is>
          <t>沈煜凯</t>
        </is>
      </c>
      <c r="K78" s="30" t="inlineStr">
        <is>
          <t>高颢宸</t>
        </is>
      </c>
    </row>
    <row r="79" ht="47.5" customHeight="1" s="19">
      <c r="B79" s="30" t="n">
        <v>74</v>
      </c>
      <c r="C79" s="29" t="n"/>
      <c r="D79" s="29" t="inlineStr">
        <is>
          <t>图8·陪伴页</t>
        </is>
      </c>
      <c r="E79" s="29" t="inlineStr">
        <is>
          <t>陪伴对话区</t>
        </is>
      </c>
      <c r="F79" s="29" t="inlineStr">
        <is>
          <t>参照图8，图标2：复用图3对话样式；管家承接情绪话题并路由至心理陪伴智能体——长者侧重回忆式话题引导（童年/家乡/往事），中青年侧重压力疏解与放松建议。来源：5.1.6；验收：两类画像获得对应陪聊方式，从管家入口连续交互。</t>
        </is>
      </c>
      <c r="G79" s="30" t="inlineStr">
        <is>
          <t>×</t>
        </is>
      </c>
      <c r="H79" s="30" t="inlineStr">
        <is>
          <t>×</t>
        </is>
      </c>
      <c r="I79" s="30" t="inlineStr">
        <is>
          <t>×</t>
        </is>
      </c>
      <c r="J79" s="30" t="inlineStr">
        <is>
          <t>沈煜凯</t>
        </is>
      </c>
      <c r="K79" s="30" t="inlineStr">
        <is>
          <t>高颢宸</t>
        </is>
      </c>
    </row>
    <row r="80" ht="33" customHeight="1" s="19">
      <c r="B80" s="30" t="n">
        <v>75</v>
      </c>
      <c r="C80" s="29" t="n"/>
      <c r="D80" s="29" t="inlineStr">
        <is>
          <t>图8·陪伴页</t>
        </is>
      </c>
      <c r="E80" s="29" t="inlineStr">
        <is>
          <t>冥想与放松课程卡</t>
        </is>
      </c>
      <c r="F80" s="29" t="inlineStr">
        <is>
          <t>参照图8，图标3：课程卡片列表（名称：呼吸放松/身体扫描/海滨冥想、时长、封面图）。动作：点击进入播放页。来源：5.1.6</t>
        </is>
      </c>
      <c r="G80" s="30" t="inlineStr">
        <is>
          <t>×</t>
        </is>
      </c>
      <c r="H80" s="30" t="inlineStr">
        <is>
          <t>×</t>
        </is>
      </c>
      <c r="I80" s="30" t="inlineStr">
        <is>
          <t>×</t>
        </is>
      </c>
      <c r="J80" s="30" t="inlineStr">
        <is>
          <t>沈煜凯</t>
        </is>
      </c>
      <c r="K80" s="30" t="inlineStr">
        <is>
          <t>高颢宸</t>
        </is>
      </c>
    </row>
    <row r="81" ht="33" customHeight="1" s="19">
      <c r="B81" s="30" t="n">
        <v>76</v>
      </c>
      <c r="C81" s="29" t="n"/>
      <c r="D81" s="29" t="inlineStr">
        <is>
          <t>图8·陪伴页</t>
        </is>
      </c>
      <c r="E81" s="29" t="inlineStr">
        <is>
          <t>环境音播放器</t>
        </is>
      </c>
      <c r="F81" s="29" t="inlineStr">
        <is>
          <t>参照图8，图标4：海浪白噪音等环境音列表+迷你播放器（播放/暂停/音量）。动作：可后台播放，进行陪伴对话时不中断。来源：5.1.6；验收：客人可获取冥想内容并使用环境音资源。</t>
        </is>
      </c>
      <c r="G81" s="30" t="inlineStr">
        <is>
          <t>×</t>
        </is>
      </c>
      <c r="H81" s="30" t="inlineStr">
        <is>
          <t>×</t>
        </is>
      </c>
      <c r="I81" s="30" t="inlineStr">
        <is>
          <t>×</t>
        </is>
      </c>
      <c r="J81" s="30" t="inlineStr">
        <is>
          <t>沈煜凯</t>
        </is>
      </c>
      <c r="K81" s="30" t="inlineStr">
        <is>
          <t>高颢宸</t>
        </is>
      </c>
    </row>
    <row r="82" ht="47.5" customHeight="1" s="19">
      <c r="B82" s="30" t="n">
        <v>77</v>
      </c>
      <c r="C82" s="29" t="n"/>
      <c r="D82" s="29" t="inlineStr">
        <is>
          <t>图8·陪伴页</t>
        </is>
      </c>
      <c r="E82" s="29" t="inlineStr">
        <is>
          <t>心情打卡控件</t>
        </is>
      </c>
      <c r="F82" s="29" t="inlineStr">
        <is>
          <t>参照图8，图标5：五档心情选择器+可选一句话备注+「记录」按钮。动作：每日提交一次；重复提交提示「今日已记录」，当日24点前可修改。数据写入情绪记录。来源：5.1.6；验收：按日期保存并查看，每日对应一条有效状态。</t>
        </is>
      </c>
      <c r="G82" s="30" t="inlineStr">
        <is>
          <t>×</t>
        </is>
      </c>
      <c r="H82" s="30" t="inlineStr">
        <is>
          <t>×</t>
        </is>
      </c>
      <c r="I82" s="30" t="inlineStr">
        <is>
          <t>×</t>
        </is>
      </c>
      <c r="J82" s="30" t="inlineStr">
        <is>
          <t>沈煜凯</t>
        </is>
      </c>
      <c r="K82" s="30" t="inlineStr">
        <is>
          <t>高颢宸</t>
        </is>
      </c>
    </row>
    <row r="83" ht="33" customHeight="1" s="19">
      <c r="B83" s="30" t="n">
        <v>78</v>
      </c>
      <c r="C83" s="29" t="n"/>
      <c r="D83" s="29" t="inlineStr">
        <is>
          <t>图8·陪伴页</t>
        </is>
      </c>
      <c r="E83" s="29" t="inlineStr">
        <is>
          <t>情绪趋势图</t>
        </is>
      </c>
      <c r="F83" s="29" t="inlineStr">
        <is>
          <t>参照图8，图标6：近7/30日情绪折线（横轴日期、纵轴情绪分值），下方标注关键事件（如疗程调整日）。数据来源：情绪记录。来源：5.1.6；验收：趋势与已有情绪记录一致。</t>
        </is>
      </c>
      <c r="G83" s="30" t="inlineStr">
        <is>
          <t>×</t>
        </is>
      </c>
      <c r="H83" s="30" t="inlineStr">
        <is>
          <t>×</t>
        </is>
      </c>
      <c r="I83" s="30" t="inlineStr">
        <is>
          <t>×</t>
        </is>
      </c>
      <c r="J83" s="30" t="inlineStr">
        <is>
          <t>沈煜凯</t>
        </is>
      </c>
      <c r="K83" s="30" t="inlineStr">
        <is>
          <t>高颢宸</t>
        </is>
      </c>
    </row>
    <row r="84" ht="47.5" customHeight="1" s="19">
      <c r="B84" s="30" t="n">
        <v>79</v>
      </c>
      <c r="C84" s="29" t="n"/>
      <c r="D84" s="29" t="inlineStr">
        <is>
          <t>陪伴逻辑</t>
        </is>
      </c>
      <c r="E84" s="29" t="inlineStr">
        <is>
          <t>画像化陪伴策略</t>
        </is>
      </c>
      <c r="F84" s="29" t="inlineStr">
        <is>
          <t>触发：情绪类意图或心情打卡为负面。输入：客群画像+情绪记录。处理：长者→回忆式陪聊+舒缓节奏；中青年→压力疏解+呼吸放松引导。输出：陪伴回复/课程推荐。异常：连续多日负面时在简报提示并纳入医护关注列表。来源：5.1.6；验收：按画像差异化陪伴，负面持续有提醒。</t>
        </is>
      </c>
      <c r="G84" s="30" t="inlineStr">
        <is>
          <t>×</t>
        </is>
      </c>
      <c r="H84" s="30" t="inlineStr">
        <is>
          <t>×</t>
        </is>
      </c>
      <c r="I84" s="30" t="inlineStr">
        <is>
          <t>×</t>
        </is>
      </c>
      <c r="J84" s="30" t="inlineStr">
        <is>
          <t>沈煜凯</t>
        </is>
      </c>
      <c r="K84" s="30" t="inlineStr">
        <is>
          <t>高颢宸</t>
        </is>
      </c>
    </row>
    <row r="85" ht="47.5" customHeight="1" s="19">
      <c r="B85" s="30" t="n">
        <v>80</v>
      </c>
      <c r="C85" s="29" t="n"/>
      <c r="D85" s="29" t="inlineStr">
        <is>
          <t>疗程联动</t>
        </is>
      </c>
      <c r="E85" s="29" t="inlineStr">
        <is>
          <t>情绪趋势供调整参考</t>
        </is>
      </c>
      <c r="F85" s="29" t="inlineStr">
        <is>
          <t>触发：疗程调整。输入：近期情绪趋势。处理：管家据此调整项目配比（情绪低落时增加亲海轻量项目、减少高强度项目）。输出：调整说明中引用情绪依据。异常：不因情绪调整越过禁忌规则。来源：5.1.6；验收：调整依据能体现情绪变化。</t>
        </is>
      </c>
      <c r="G85" s="30" t="inlineStr">
        <is>
          <t>×</t>
        </is>
      </c>
      <c r="H85" s="30" t="inlineStr">
        <is>
          <t>×</t>
        </is>
      </c>
      <c r="I85" s="30" t="inlineStr">
        <is>
          <t>×</t>
        </is>
      </c>
      <c r="J85" s="30" t="inlineStr">
        <is>
          <t>沈煜凯</t>
        </is>
      </c>
      <c r="K85" s="30" t="inlineStr">
        <is>
          <t>高颢宸</t>
        </is>
      </c>
    </row>
    <row r="86" ht="47.5" customHeight="1" s="19">
      <c r="B86" s="30" t="n">
        <v>81</v>
      </c>
      <c r="C86" s="31" t="inlineStr">
        <is>
          <t>健康数据</t>
        </is>
      </c>
      <c r="D86" s="29" t="inlineStr">
        <is>
          <t>图8·数据页</t>
        </is>
      </c>
      <c r="E86" s="29" t="inlineStr">
        <is>
          <t>指标录入表单</t>
        </is>
      </c>
      <c r="F86" s="29" t="inlineStr">
        <is>
          <t>参照图8，图标7：四类指标录入卡——血压（高压/低压mmHg）、睡眠时长（小时）、步数（步）、体重（kg），各含数值输入+记录时间（默认当前）+「保存」。动作：校验数值合理区间（如血压50~300），越界红框提示。来源：5.1.7；验收：四类指标按记录时间保存和查看。</t>
        </is>
      </c>
      <c r="G86" s="30" t="inlineStr">
        <is>
          <t>×</t>
        </is>
      </c>
      <c r="H86" s="30" t="inlineStr">
        <is>
          <t>×</t>
        </is>
      </c>
      <c r="I86" s="30" t="inlineStr">
        <is>
          <t>×</t>
        </is>
      </c>
      <c r="J86" s="30" t="inlineStr">
        <is>
          <t>沈煜凯</t>
        </is>
      </c>
      <c r="K86" s="30" t="inlineStr">
        <is>
          <t>高颢宸</t>
        </is>
      </c>
    </row>
    <row r="87" ht="33" customHeight="1" s="19">
      <c r="B87" s="30" t="n">
        <v>82</v>
      </c>
      <c r="C87" s="29" t="n"/>
      <c r="D87" s="29" t="inlineStr">
        <is>
          <t>图8·数据页</t>
        </is>
      </c>
      <c r="E87" s="29" t="inlineStr">
        <is>
          <t>指标趋势图</t>
        </is>
      </c>
      <c r="F87" s="29" t="inlineStr">
        <is>
          <t>参照图8，图标8：指标Tab切换各指标近7/30日趋势折线，异常值点红色标注。数据来源：指标记录。来源：5.1.7；验收：图表数值与录入记录一致。</t>
        </is>
      </c>
      <c r="G87" s="30" t="inlineStr">
        <is>
          <t>×</t>
        </is>
      </c>
      <c r="H87" s="30" t="inlineStr">
        <is>
          <t>×</t>
        </is>
      </c>
      <c r="I87" s="30" t="inlineStr">
        <is>
          <t>×</t>
        </is>
      </c>
      <c r="J87" s="30" t="inlineStr">
        <is>
          <t>沈煜凯</t>
        </is>
      </c>
      <c r="K87" s="30" t="inlineStr">
        <is>
          <t>高颢宸</t>
        </is>
      </c>
    </row>
    <row r="88" ht="33" customHeight="1" s="19">
      <c r="B88" s="30" t="n">
        <v>83</v>
      </c>
      <c r="C88" s="29" t="n"/>
      <c r="D88" s="29" t="inlineStr">
        <is>
          <t>图8·数据页</t>
        </is>
      </c>
      <c r="E88" s="29" t="inlineStr">
        <is>
          <t>记录列表</t>
        </is>
      </c>
      <c r="F88" s="29" t="inlineStr">
        <is>
          <t>参照图8，图标9：按时间倒序列出记录（指标、数值、时间、来源），当日误录可删除。来源：5.1.7（评审细化）</t>
        </is>
      </c>
      <c r="G88" s="30" t="inlineStr">
        <is>
          <t>×</t>
        </is>
      </c>
      <c r="H88" s="30" t="inlineStr">
        <is>
          <t>×</t>
        </is>
      </c>
      <c r="I88" s="30" t="inlineStr">
        <is>
          <t>×</t>
        </is>
      </c>
      <c r="J88" s="30" t="inlineStr">
        <is>
          <t>沈煜凯</t>
        </is>
      </c>
      <c r="K88" s="30" t="inlineStr">
        <is>
          <t>高颢宸</t>
        </is>
      </c>
    </row>
    <row r="89" ht="62" customHeight="1" s="19">
      <c r="B89" s="30" t="n">
        <v>84</v>
      </c>
      <c r="C89" s="29" t="n"/>
      <c r="D89" s="29" t="inlineStr">
        <is>
          <t>数据逻辑</t>
        </is>
      </c>
      <c r="E89" s="29" t="inlineStr">
        <is>
          <t>健康数据回流调整</t>
        </is>
      </c>
      <c r="F89" s="29" t="inlineStr">
        <is>
          <t>触发：近期健康数据显著变化（如睡眠持续&lt;5小时、血压异常升高）或客人请求调整。输入：近期指标趋势+当前疗程。处理：智能体结合禁忌规则提出项目/参数调整（降低强度、增加助眠安排）。输出：调整后方案；慢病/禁忌客人进入强制审核。异常：数据不足时不自动调整并说明。来源：5.1.7、5.2.1；验收：更新数据后调整依据体现数据变化，强制审核不被绕过。</t>
        </is>
      </c>
      <c r="G89" s="30" t="inlineStr">
        <is>
          <t>×</t>
        </is>
      </c>
      <c r="H89" s="30" t="inlineStr">
        <is>
          <t>×</t>
        </is>
      </c>
      <c r="I89" s="30" t="inlineStr">
        <is>
          <t>×</t>
        </is>
      </c>
      <c r="J89" s="30" t="inlineStr">
        <is>
          <t>沈煜凯</t>
        </is>
      </c>
      <c r="K89" s="30" t="inlineStr">
        <is>
          <t>高颢宸</t>
        </is>
      </c>
    </row>
    <row r="90" ht="33" customHeight="1" s="19">
      <c r="B90" s="30" t="n">
        <v>85</v>
      </c>
      <c r="C90" s="29" t="n"/>
      <c r="D90" s="29" t="inlineStr">
        <is>
          <t>数据规格</t>
        </is>
      </c>
      <c r="E90" s="29" t="inlineStr">
        <is>
          <t>指标数据结构</t>
        </is>
      </c>
      <c r="F90" s="29" t="inlineStr">
        <is>
          <t>数据规格：指标记录=客人、指标类型（血压/睡眠/步数/体重）、数值（血压为高低压双值）、单位、记录时间、录入来源（手动/对话补充）。来源：5.1.7（评审细化）</t>
        </is>
      </c>
      <c r="G90" s="30" t="inlineStr">
        <is>
          <t>×</t>
        </is>
      </c>
      <c r="H90" s="30" t="inlineStr">
        <is>
          <t>×</t>
        </is>
      </c>
      <c r="I90" s="30" t="inlineStr">
        <is>
          <t>×</t>
        </is>
      </c>
      <c r="J90" s="30" t="inlineStr">
        <is>
          <t>沈煜凯</t>
        </is>
      </c>
      <c r="K90" s="30" t="inlineStr">
        <is>
          <t>高颢宸</t>
        </is>
      </c>
    </row>
    <row r="91" ht="33" customHeight="1" s="19">
      <c r="B91" s="30" t="n">
        <v>86</v>
      </c>
      <c r="C91" s="31" t="inlineStr">
        <is>
          <t>医护审核台</t>
        </is>
      </c>
      <c r="D91" s="29" t="inlineStr">
        <is>
          <t>图9·审核队列</t>
        </is>
      </c>
      <c r="E91" s="29" t="inlineStr">
        <is>
          <t>队列标题与统计卡</t>
        </is>
      </c>
      <c r="F91" s="29" t="inlineStr">
        <is>
          <t>参照图9，图标1：「方案审核队列」+统计卡（待审核N、今日已审N、待抽检N）。数据来源：审核任务。来源：5.2.1</t>
        </is>
      </c>
      <c r="G91" s="30" t="inlineStr">
        <is>
          <t>×</t>
        </is>
      </c>
      <c r="H91" s="30" t="inlineStr">
        <is>
          <t>×</t>
        </is>
      </c>
      <c r="I91" s="30" t="inlineStr">
        <is>
          <t>×</t>
        </is>
      </c>
      <c r="J91" s="30" t="inlineStr">
        <is>
          <t>于明洋</t>
        </is>
      </c>
      <c r="K91" s="30" t="inlineStr">
        <is>
          <t>高颢宸</t>
        </is>
      </c>
    </row>
    <row r="92" ht="33" customHeight="1" s="19">
      <c r="B92" s="30" t="n">
        <v>87</v>
      </c>
      <c r="C92" s="29" t="n"/>
      <c r="D92" s="29" t="inlineStr">
        <is>
          <t>图9·审核队列</t>
        </is>
      </c>
      <c r="E92" s="29" t="inlineStr">
        <is>
          <t>筛选与排序</t>
        </is>
      </c>
      <c r="F92" s="29" t="inlineStr">
        <is>
          <t>参照图9，图标2：筛选器——状态（待审核/已通过/已驳回/待抽检）、客人姓名、生成时间排序。动作：组合筛选队列列表。来源：5.2.1（评审细化）</t>
        </is>
      </c>
      <c r="G92" s="30" t="inlineStr">
        <is>
          <t>×</t>
        </is>
      </c>
      <c r="H92" s="30" t="inlineStr">
        <is>
          <t>×</t>
        </is>
      </c>
      <c r="I92" s="30" t="inlineStr">
        <is>
          <t>×</t>
        </is>
      </c>
      <c r="J92" s="30" t="inlineStr">
        <is>
          <t>于明洋</t>
        </is>
      </c>
      <c r="K92" s="30" t="inlineStr">
        <is>
          <t>高颢宸</t>
        </is>
      </c>
    </row>
    <row r="93" ht="62" customHeight="1" s="19">
      <c r="B93" s="30" t="n">
        <v>88</v>
      </c>
      <c r="C93" s="29" t="n"/>
      <c r="D93" s="29" t="inlineStr">
        <is>
          <t>图9·审核队列</t>
        </is>
      </c>
      <c r="E93" s="29" t="inlineStr">
        <is>
          <t>审核任务行</t>
        </is>
      </c>
      <c r="F93" s="29" t="inlineStr">
        <is>
          <t>参照图9，图标3：每行显示客人姓名+房号、方案生成时间、审核级别标签（强制审核红#E63946/直接生效绿#52B788/待抽检橙#E76F51）、方案摘要（周期+项目数）、「进入审核」按钮。动作：点击进入审核详情（图9右）。来源：5.2.1；验收：不同档案的方案显示对应审核类别，医护能查到待审核方案。</t>
        </is>
      </c>
      <c r="G93" s="30" t="inlineStr">
        <is>
          <t>×</t>
        </is>
      </c>
      <c r="H93" s="30" t="inlineStr">
        <is>
          <t>×</t>
        </is>
      </c>
      <c r="I93" s="30" t="inlineStr">
        <is>
          <t>×</t>
        </is>
      </c>
      <c r="J93" s="30" t="inlineStr">
        <is>
          <t>于明洋</t>
        </is>
      </c>
      <c r="K93" s="30" t="inlineStr">
        <is>
          <t>高颢宸</t>
        </is>
      </c>
    </row>
    <row r="94" ht="47.5" customHeight="1" s="19">
      <c r="B94" s="30" t="n">
        <v>89</v>
      </c>
      <c r="C94" s="29" t="n"/>
      <c r="D94" s="29" t="inlineStr">
        <is>
          <t>图9·审核详情</t>
        </is>
      </c>
      <c r="E94" s="29" t="inlineStr">
        <is>
          <t>疗程总览与修改区</t>
        </is>
      </c>
      <c r="F94" s="29" t="inlineStr">
        <is>
          <t>参照图9，图标4：日历+列表展示该方案全部安排（时段、项目、强度）；医护可在行内修改——下拉替换项目、调整强度与时段。动作：修改实时暂存，「保存修改」后更新方案。来源：5.2.1；验收：修改保存后方案展示更新内容，生效方案采用医护确认的项目与参数。</t>
        </is>
      </c>
      <c r="G94" s="30" t="inlineStr">
        <is>
          <t>×</t>
        </is>
      </c>
      <c r="H94" s="30" t="inlineStr">
        <is>
          <t>×</t>
        </is>
      </c>
      <c r="I94" s="30" t="inlineStr">
        <is>
          <t>×</t>
        </is>
      </c>
      <c r="J94" s="30" t="inlineStr">
        <is>
          <t>于明洋</t>
        </is>
      </c>
      <c r="K94" s="30" t="inlineStr">
        <is>
          <t>高颢宸</t>
        </is>
      </c>
    </row>
    <row r="95" ht="47.5" customHeight="1" s="19">
      <c r="B95" s="30" t="n">
        <v>90</v>
      </c>
      <c r="C95" s="29" t="n"/>
      <c r="D95" s="29" t="inlineStr">
        <is>
          <t>图9·审核详情</t>
        </is>
      </c>
      <c r="E95" s="29" t="inlineStr">
        <is>
          <t>生成依据区</t>
        </is>
      </c>
      <c r="F95" s="29" t="inlineStr">
        <is>
          <t>参照图9，图标5：列出健康档案摘要（慢病/过敏/行动能力）、命中的知识/规则条目（编号+内容，规则命中红#E63946标注）、评估结论、近期健康与情绪数据引用。来源：5.2.1；验收：审核页可见项目安排及对应生成依据。</t>
        </is>
      </c>
      <c r="G95" s="30" t="inlineStr">
        <is>
          <t>×</t>
        </is>
      </c>
      <c r="H95" s="30" t="inlineStr">
        <is>
          <t>×</t>
        </is>
      </c>
      <c r="I95" s="30" t="inlineStr">
        <is>
          <t>×</t>
        </is>
      </c>
      <c r="J95" s="30" t="inlineStr">
        <is>
          <t>于明洋</t>
        </is>
      </c>
      <c r="K95" s="30" t="inlineStr">
        <is>
          <t>高颢宸</t>
        </is>
      </c>
    </row>
    <row r="96" ht="62" customHeight="1" s="19">
      <c r="B96" s="30" t="n">
        <v>91</v>
      </c>
      <c r="C96" s="29" t="n"/>
      <c r="D96" s="29" t="inlineStr">
        <is>
          <t>图9·审核详情</t>
        </is>
      </c>
      <c r="E96" s="29" t="inlineStr">
        <is>
          <t>审核操作区</t>
        </is>
      </c>
      <c r="F96" s="29" t="inlineStr">
        <is>
          <t>参照图9，图标6：按钮组「通过并生效」（主色）/「修改后通过」/「驳回」（红#E63946）。动作：通过→方案转生效并同步客人端（图4状态更新）；驳回→弹窗必填原因（可选常用原因：强度不适/禁忌冲突/时段不合理），原因反馈智能体重新生成。来源：5.2.1；验收：通过后方案生效、客人看到与审核一致的疗程；驳回原因可查并触发重新生成。</t>
        </is>
      </c>
      <c r="G96" s="30" t="inlineStr">
        <is>
          <t>×</t>
        </is>
      </c>
      <c r="H96" s="30" t="inlineStr">
        <is>
          <t>×</t>
        </is>
      </c>
      <c r="I96" s="30" t="inlineStr">
        <is>
          <t>×</t>
        </is>
      </c>
      <c r="J96" s="30" t="inlineStr">
        <is>
          <t>于明洋</t>
        </is>
      </c>
      <c r="K96" s="30" t="inlineStr">
        <is>
          <t>高颢宸</t>
        </is>
      </c>
    </row>
    <row r="97" ht="47.5" customHeight="1" s="19">
      <c r="B97" s="30" t="n">
        <v>92</v>
      </c>
      <c r="C97" s="29" t="n"/>
      <c r="D97" s="29" t="inlineStr">
        <is>
          <t>分级审核逻辑</t>
        </is>
      </c>
      <c r="E97" s="29" t="inlineStr">
        <is>
          <t>直接生效与事后抽检</t>
        </is>
      </c>
      <c r="F97" s="29" t="inlineStr">
        <is>
          <t>触发：方案生成且档案无慢病与禁忌命中。处理：方案直接生效（客人立即可见）并进入抽检池。输出：生效方案+待抽检标记。异常：抽检发现问题时医护可修改方案并通知客人。来源：5.2.1；验收：健康客人方案无需等待审批即生效，医护可事后查看抽检。</t>
        </is>
      </c>
      <c r="G97" s="30" t="inlineStr">
        <is>
          <t>×</t>
        </is>
      </c>
      <c r="H97" s="30" t="inlineStr">
        <is>
          <t>×</t>
        </is>
      </c>
      <c r="I97" s="30" t="inlineStr">
        <is>
          <t>×</t>
        </is>
      </c>
      <c r="J97" s="30" t="inlineStr">
        <is>
          <t>于明洋</t>
        </is>
      </c>
      <c r="K97" s="30" t="inlineStr">
        <is>
          <t>高颢宸</t>
        </is>
      </c>
    </row>
    <row r="98" ht="62" customHeight="1" s="19">
      <c r="B98" s="30" t="n">
        <v>93</v>
      </c>
      <c r="C98" s="29" t="n"/>
      <c r="D98" s="29" t="inlineStr">
        <is>
          <t>分级审核逻辑</t>
        </is>
      </c>
      <c r="E98" s="29" t="inlineStr">
        <is>
          <t>强制审核拦截</t>
        </is>
      </c>
      <c r="F98" s="29" t="inlineStr">
        <is>
          <t>触发：方案生成且档案含慢病或禁忌命中。处理：方案置为「待审核」未生效态并进入强制审核队列。输出：医护通过前客人端显示「方案待医护确认」。异常：任何入口（对话/数据触发/重新生成）不得绕过审核。来源：5.2.1；验收：未通过审核的方案保持未生效，不能绕过审核直接生效。</t>
        </is>
      </c>
      <c r="G98" s="30" t="inlineStr">
        <is>
          <t>×</t>
        </is>
      </c>
      <c r="H98" s="30" t="inlineStr">
        <is>
          <t>×</t>
        </is>
      </c>
      <c r="I98" s="30" t="inlineStr">
        <is>
          <t>×</t>
        </is>
      </c>
      <c r="J98" s="30" t="inlineStr">
        <is>
          <t>于明洋</t>
        </is>
      </c>
      <c r="K98" s="30" t="inlineStr">
        <is>
          <t>高颢宸</t>
        </is>
      </c>
    </row>
    <row r="99" ht="62" customHeight="1" s="19">
      <c r="B99" s="30" t="n">
        <v>94</v>
      </c>
      <c r="C99" s="29" t="n"/>
      <c r="D99" s="29" t="inlineStr">
        <is>
          <t>分级审核逻辑</t>
        </is>
      </c>
      <c r="E99" s="29" t="inlineStr">
        <is>
          <t>驳回重生成闭环</t>
        </is>
      </c>
      <c r="F99" s="29" t="inlineStr">
        <is>
          <t>触发：医护驳回并提交原因。输入：驳回原因+原方案。处理：原因作为约束输入智能体重新生成（避开驳回项），新方案再次按分级规则流转。输出：重生成方案与驳回记录关联可追溯。异常：两次驳回后升级提示管理员人工介入。来源：5.2.1；验收：驳回原因可查，重生成方案继续遵循分级审核规则。</t>
        </is>
      </c>
      <c r="G99" s="30" t="inlineStr">
        <is>
          <t>×</t>
        </is>
      </c>
      <c r="H99" s="30" t="inlineStr">
        <is>
          <t>×</t>
        </is>
      </c>
      <c r="I99" s="30" t="inlineStr">
        <is>
          <t>×</t>
        </is>
      </c>
      <c r="J99" s="30" t="inlineStr">
        <is>
          <t>于明洋</t>
        </is>
      </c>
      <c r="K99" s="30" t="inlineStr">
        <is>
          <t>高颢宸</t>
        </is>
      </c>
    </row>
    <row r="100" ht="62" customHeight="1" s="19">
      <c r="B100" s="30" t="n">
        <v>95</v>
      </c>
      <c r="C100" s="29" t="n"/>
      <c r="D100" s="29" t="inlineStr">
        <is>
          <t>图9·规则页</t>
        </is>
      </c>
      <c r="E100" s="29" t="inlineStr">
        <is>
          <t>禁忌规则列表</t>
        </is>
      </c>
      <c r="F100" s="29" t="inlineStr">
        <is>
          <t>参照图9，图标7：规则表格——规则编号、适用项目/场景、触发条件（档案或环境）、处置动作（禁止/限制/提示）。预置规则：高血压/心脏病客人慎泡温泉；皮肤破损者禁海水浴；强紫外线时段限制下海项目。动作：按关键词检索规则。来源：5.2.1；验收：规则可查阅，匹配档案或环境条件时系统呈现对应提示并执行限制。</t>
        </is>
      </c>
      <c r="G100" s="30" t="inlineStr">
        <is>
          <t>×</t>
        </is>
      </c>
      <c r="H100" s="30" t="inlineStr">
        <is>
          <t>×</t>
        </is>
      </c>
      <c r="I100" s="30" t="inlineStr">
        <is>
          <t>×</t>
        </is>
      </c>
      <c r="J100" s="30" t="inlineStr">
        <is>
          <t>于明洋</t>
        </is>
      </c>
      <c r="K100" s="30" t="inlineStr">
        <is>
          <t>高颢宸</t>
        </is>
      </c>
    </row>
    <row r="101" ht="33" customHeight="1" s="19">
      <c r="B101" s="30" t="n">
        <v>96</v>
      </c>
      <c r="C101" s="29" t="n"/>
      <c r="D101" s="29" t="inlineStr">
        <is>
          <t>图9·审核台</t>
        </is>
      </c>
      <c r="E101" s="29" t="inlineStr">
        <is>
          <t>审核记录查询</t>
        </is>
      </c>
      <c r="F101" s="29" t="inlineStr">
        <is>
          <t>参照图9，图标8：历史审核记录列表（时间、客人、操作、操作人、结果），支持按客人追溯全部审核历史。来源：5.2.1（评审细化）</t>
        </is>
      </c>
      <c r="G101" s="30" t="inlineStr">
        <is>
          <t>×</t>
        </is>
      </c>
      <c r="H101" s="30" t="inlineStr">
        <is>
          <t>×</t>
        </is>
      </c>
      <c r="I101" s="30" t="inlineStr">
        <is>
          <t>×</t>
        </is>
      </c>
      <c r="J101" s="30" t="inlineStr">
        <is>
          <t>于明洋</t>
        </is>
      </c>
      <c r="K101" s="30" t="inlineStr">
        <is>
          <t>高颢宸</t>
        </is>
      </c>
    </row>
    <row r="102" ht="47.5" customHeight="1" s="19">
      <c r="B102" s="30" t="n">
        <v>97</v>
      </c>
      <c r="C102" s="31" t="inlineStr">
        <is>
          <t>机构基础管理</t>
        </is>
      </c>
      <c r="D102" s="29" t="inlineStr">
        <is>
          <t>图10·客户管理</t>
        </is>
      </c>
      <c r="E102" s="29" t="inlineStr">
        <is>
          <t>客户列表</t>
        </is>
      </c>
      <c r="F102" s="29" t="inlineStr">
        <is>
          <t>参照图10，图标1：表格列=姓名、性别、年龄、房号、入住/离店日期、在住状态标签（绿/灰）、慢病/禁忌标记（红点）。动作：按姓名/房号/在住状态搜索筛选；点击行进入客户详情。来源：5.2.2；验收：机构人员可找到客人并查看在住状态。</t>
        </is>
      </c>
      <c r="G102" s="30" t="inlineStr">
        <is>
          <t>×</t>
        </is>
      </c>
      <c r="H102" s="30" t="inlineStr">
        <is>
          <t>×</t>
        </is>
      </c>
      <c r="I102" s="30" t="inlineStr">
        <is>
          <t>×</t>
        </is>
      </c>
      <c r="J102" s="30" t="inlineStr">
        <is>
          <t>于明洋</t>
        </is>
      </c>
      <c r="K102" s="30" t="inlineStr">
        <is>
          <t>高颢宸</t>
        </is>
      </c>
    </row>
    <row r="103" ht="47.5" customHeight="1" s="19">
      <c r="B103" s="30" t="n">
        <v>98</v>
      </c>
      <c r="C103" s="29" t="n"/>
      <c r="D103" s="29" t="inlineStr">
        <is>
          <t>图10·客户管理</t>
        </is>
      </c>
      <c r="E103" s="29" t="inlineStr">
        <is>
          <t>客户健康档案查看</t>
        </is>
      </c>
      <c r="F103" s="29" t="inlineStr">
        <is>
          <t>参照图10，图标2：客户详情内嵌只读档案视图（字段同图2）+变更记录入口。动作：查看最新档案；档案修改由客人在客人端操作，机构端只读以保证来源单一。来源：5.2.2、5.1.1；验收：选中客人展示其档案，修改后内容同步可见。</t>
        </is>
      </c>
      <c r="G103" s="30" t="inlineStr">
        <is>
          <t>×</t>
        </is>
      </c>
      <c r="H103" s="30" t="inlineStr">
        <is>
          <t>×</t>
        </is>
      </c>
      <c r="I103" s="30" t="inlineStr">
        <is>
          <t>×</t>
        </is>
      </c>
      <c r="J103" s="30" t="inlineStr">
        <is>
          <t>于明洋</t>
        </is>
      </c>
      <c r="K103" s="30" t="inlineStr">
        <is>
          <t>高颢宸</t>
        </is>
      </c>
    </row>
    <row r="104" ht="47.5" customHeight="1" s="19">
      <c r="B104" s="30" t="n">
        <v>99</v>
      </c>
      <c r="C104" s="29" t="n"/>
      <c r="D104" s="29" t="inlineStr">
        <is>
          <t>图10·项目管理</t>
        </is>
      </c>
      <c r="E104" s="29" t="inlineStr">
        <is>
          <t>项目排期总览</t>
        </is>
      </c>
      <c r="F104" s="29" t="inlineStr">
        <is>
          <t>参照图10，图标3：按周展示各项目开放时段矩阵（项目×日期时段），标注容量与已约数。动作：点击格查看该时段预约名单；排期与客人端项目库一致。来源：5.2.2；验收：可查看项目排期并与客人端安排一致。</t>
        </is>
      </c>
      <c r="G104" s="30" t="inlineStr">
        <is>
          <t>×</t>
        </is>
      </c>
      <c r="H104" s="30" t="inlineStr">
        <is>
          <t>×</t>
        </is>
      </c>
      <c r="I104" s="30" t="inlineStr">
        <is>
          <t>×</t>
        </is>
      </c>
      <c r="J104" s="30" t="inlineStr">
        <is>
          <t>于明洋</t>
        </is>
      </c>
      <c r="K104" s="30" t="inlineStr">
        <is>
          <t>高颢宸</t>
        </is>
      </c>
    </row>
    <row r="105" ht="47.5" customHeight="1" s="19">
      <c r="B105" s="30" t="n">
        <v>100</v>
      </c>
      <c r="C105" s="29" t="n"/>
      <c r="D105" s="29" t="inlineStr">
        <is>
          <t>图10·预约管理</t>
        </is>
      </c>
      <c r="E105" s="29" t="inlineStr">
        <is>
          <t>按日与按项目双视角</t>
        </is>
      </c>
      <c r="F105" s="29" t="inlineStr">
        <is>
          <t>参照图10，图标4：Tab「按日/按项目」——按日=当日各时段预约汇总（时段、项目、已约/容量、名单）；按项目=所选项目跨日期预约分布。动作：点击时段展开预约名单（客人、状态、创建入口）。来源：5.2.2；验收：两种视角查到同一预约的项目与时段一致。</t>
        </is>
      </c>
      <c r="G105" s="30" t="inlineStr">
        <is>
          <t>×</t>
        </is>
      </c>
      <c r="H105" s="30" t="inlineStr">
        <is>
          <t>×</t>
        </is>
      </c>
      <c r="I105" s="30" t="inlineStr">
        <is>
          <t>×</t>
        </is>
      </c>
      <c r="J105" s="30" t="inlineStr">
        <is>
          <t>于明洋</t>
        </is>
      </c>
      <c r="K105" s="30" t="inlineStr">
        <is>
          <t>高颢宸</t>
        </is>
      </c>
    </row>
    <row r="106" ht="33" customHeight="1" s="19">
      <c r="B106" s="30" t="n">
        <v>101</v>
      </c>
      <c r="C106" s="29" t="n"/>
      <c r="D106" s="29" t="inlineStr">
        <is>
          <t>图10·预约管理</t>
        </is>
      </c>
      <c r="E106" s="29" t="inlineStr">
        <is>
          <t>预约异常处理</t>
        </is>
      </c>
      <c r="F106" s="29" t="inlineStr">
        <is>
          <t>参照图10，图标5：异常列表——超时未到、客人临时取消、天气/海况原因取消（支持批量）。动作：重新安排/通知客人/批量取消并推送原因。来源：5.2.2（评审细化）</t>
        </is>
      </c>
      <c r="G106" s="30" t="inlineStr">
        <is>
          <t>×</t>
        </is>
      </c>
      <c r="H106" s="30" t="inlineStr">
        <is>
          <t>×</t>
        </is>
      </c>
      <c r="I106" s="30" t="inlineStr">
        <is>
          <t>×</t>
        </is>
      </c>
      <c r="J106" s="30" t="inlineStr">
        <is>
          <t>于明洋</t>
        </is>
      </c>
      <c r="K106" s="30" t="inlineStr">
        <is>
          <t>高颢宸</t>
        </is>
      </c>
    </row>
    <row r="107" ht="47.5" customHeight="1" s="19">
      <c r="B107" s="30" t="n">
        <v>102</v>
      </c>
      <c r="C107" s="29" t="n"/>
      <c r="D107" s="29" t="inlineStr">
        <is>
          <t>图10·员工管理</t>
        </is>
      </c>
      <c r="E107" s="29" t="inlineStr">
        <is>
          <t>员工账号列表</t>
        </is>
      </c>
      <c r="F107" s="29" t="inlineStr">
        <is>
          <t>参照图10，图标6：表格=姓名、角色（医护/管理员/康养服务人员）、岗位（教练/理疗师/配餐员等）、账号状态。动作：新增/停用账号并分配角色；仅管理员可操作。来源：5.2.2、表2；验收：员工账号可关联角色并在管理界面查看配置。</t>
        </is>
      </c>
      <c r="G107" s="30" t="inlineStr">
        <is>
          <t>×</t>
        </is>
      </c>
      <c r="H107" s="30" t="inlineStr">
        <is>
          <t>×</t>
        </is>
      </c>
      <c r="I107" s="30" t="inlineStr">
        <is>
          <t>×</t>
        </is>
      </c>
      <c r="J107" s="30" t="inlineStr">
        <is>
          <t>于明洋</t>
        </is>
      </c>
      <c r="K107" s="30" t="inlineStr">
        <is>
          <t>高颢宸</t>
        </is>
      </c>
    </row>
    <row r="108" ht="47.5" customHeight="1" s="19">
      <c r="B108" s="30" t="n">
        <v>103</v>
      </c>
      <c r="C108" s="29" t="n"/>
      <c r="D108" s="29" t="inlineStr">
        <is>
          <t>图10·员工管理</t>
        </is>
      </c>
      <c r="E108" s="29" t="inlineStr">
        <is>
          <t>角色权限矩阵</t>
        </is>
      </c>
      <c r="F108" s="29" t="inlineStr">
        <is>
          <t>参照图10，图标7：角色×功能权限矩阵页——医护：审核台+客户档案查看；服务人员：仅本人相关日程；管理员：全部管理功能。动作：管理员可调整非核心权限；审核权限锁定医护专属。来源：表2、5.2.2；验收：具体权限清单可在本页查阅。</t>
        </is>
      </c>
      <c r="G108" s="30" t="inlineStr">
        <is>
          <t>×</t>
        </is>
      </c>
      <c r="H108" s="30" t="inlineStr">
        <is>
          <t>×</t>
        </is>
      </c>
      <c r="I108" s="30" t="inlineStr">
        <is>
          <t>×</t>
        </is>
      </c>
      <c r="J108" s="30" t="inlineStr">
        <is>
          <t>于明洋</t>
        </is>
      </c>
      <c r="K108" s="30" t="inlineStr">
        <is>
          <t>高颢宸</t>
        </is>
      </c>
    </row>
    <row r="109" ht="47.5" customHeight="1" s="19">
      <c r="B109" s="30" t="n">
        <v>104</v>
      </c>
      <c r="C109" s="29" t="n"/>
      <c r="D109" s="29" t="inlineStr">
        <is>
          <t>图10·服务人员视图</t>
        </is>
      </c>
      <c r="E109" s="29" t="inlineStr">
        <is>
          <t>每日安排页</t>
        </is>
      </c>
      <c r="F109" s="29" t="inlineStr">
        <is>
          <t>参照图10，图标8：按岗位过滤的当日安排——教练→所带项目时段与客人名单；理疗师→水疗时段；配餐员→点餐单。样式：时间轴呈现，支持手机查看。来源：表2、5.2.2；验收：服务人员可清楚查看所需项目与预约时段，与机构预约总览一致。</t>
        </is>
      </c>
      <c r="G109" s="30" t="inlineStr">
        <is>
          <t>×</t>
        </is>
      </c>
      <c r="H109" s="30" t="inlineStr">
        <is>
          <t>×</t>
        </is>
      </c>
      <c r="I109" s="30" t="inlineStr">
        <is>
          <t>×</t>
        </is>
      </c>
      <c r="J109" s="30" t="inlineStr">
        <is>
          <t>于明洋</t>
        </is>
      </c>
      <c r="K109" s="30" t="inlineStr">
        <is>
          <t>高颢宸</t>
        </is>
      </c>
    </row>
    <row r="110" ht="33" customHeight="1" s="19">
      <c r="B110" s="30" t="n">
        <v>105</v>
      </c>
      <c r="C110" s="29" t="n"/>
      <c r="D110" s="29" t="inlineStr">
        <is>
          <t>图10·服务人员视图</t>
        </is>
      </c>
      <c r="E110" s="29" t="inlineStr">
        <is>
          <t>点餐备餐单</t>
        </is>
      </c>
      <c r="F110" s="29" t="inlineStr">
        <is>
          <t>参照图10，图标9：配餐员视角按餐次汇总点餐单（客人、房号、菜品、忌口提醒红标）。动作：标记备餐中/已送达，状态对客人端可见。来源：5.1.5、5.2.2（评审细化）</t>
        </is>
      </c>
      <c r="G110" s="30" t="inlineStr">
        <is>
          <t>×</t>
        </is>
      </c>
      <c r="H110" s="30" t="inlineStr">
        <is>
          <t>×</t>
        </is>
      </c>
      <c r="I110" s="30" t="inlineStr">
        <is>
          <t>×</t>
        </is>
      </c>
      <c r="J110" s="30" t="inlineStr">
        <is>
          <t>于明洋</t>
        </is>
      </c>
      <c r="K110" s="30" t="inlineStr">
        <is>
          <t>高颢宸</t>
        </is>
      </c>
    </row>
    <row r="111" ht="47.5" customHeight="1" s="19">
      <c r="B111" s="30" t="n">
        <v>106</v>
      </c>
      <c r="C111" s="29" t="n"/>
      <c r="D111" s="29" t="inlineStr">
        <is>
          <t>图10·机构端登录</t>
        </is>
      </c>
      <c r="E111" s="29" t="inlineStr">
        <is>
          <t>员工登录与鉴权</t>
        </is>
      </c>
      <c r="F111" s="29" t="inlineStr">
        <is>
          <t>参照图10，图标10：员工登录页（账号+密码）。动作：按角色跳转对应首页（医护→审核台、服务人员→每日安排、管理员→管理总览）；鉴权失败提示；越权访问返回无权限页。来源：4.1、5.2.2（评审细化）</t>
        </is>
      </c>
      <c r="G111" s="30" t="inlineStr">
        <is>
          <t>×</t>
        </is>
      </c>
      <c r="H111" s="30" t="inlineStr">
        <is>
          <t>×</t>
        </is>
      </c>
      <c r="I111" s="30" t="inlineStr">
        <is>
          <t>×</t>
        </is>
      </c>
      <c r="J111" s="30" t="inlineStr">
        <is>
          <t>于明洋</t>
        </is>
      </c>
      <c r="K111" s="30" t="inlineStr">
        <is>
          <t>高颢宸</t>
        </is>
      </c>
    </row>
    <row r="112" ht="47.5" customHeight="1" s="19">
      <c r="B112" s="30" t="n">
        <v>107</v>
      </c>
      <c r="C112" s="29" t="n"/>
      <c r="D112" s="29" t="inlineStr">
        <is>
          <t>管理逻辑</t>
        </is>
      </c>
      <c r="E112" s="29" t="inlineStr">
        <is>
          <t>角色业务权限规则</t>
        </is>
      </c>
      <c r="F112" s="29" t="inlineStr">
        <is>
          <t>处理规格：医护=方案审核、禁忌规则查阅、客户档案查看；管理员=客户/项目/预约/员工管理；服务人员=本人相关每日安排；非本角色操作一律拒绝并记录日志。来源：表2、5.2.2；验收：医护角色可审核方案，非医护角色不能执行医护审核操作。</t>
        </is>
      </c>
      <c r="G112" s="30" t="inlineStr">
        <is>
          <t>×</t>
        </is>
      </c>
      <c r="H112" s="30" t="inlineStr">
        <is>
          <t>×</t>
        </is>
      </c>
      <c r="I112" s="30" t="inlineStr">
        <is>
          <t>×</t>
        </is>
      </c>
      <c r="J112" s="30" t="inlineStr">
        <is>
          <t>于明洋</t>
        </is>
      </c>
      <c r="K112" s="30" t="inlineStr">
        <is>
          <t>高颢宸</t>
        </is>
      </c>
    </row>
    <row r="113" ht="76.5" customHeight="1" s="19">
      <c r="B113" s="30" t="n">
        <v>108</v>
      </c>
      <c r="C113" s="31" t="inlineStr">
        <is>
          <t>疗程反馈闭环</t>
        </is>
      </c>
      <c r="D113" s="29" t="inlineStr">
        <is>
          <t>闭环逻辑</t>
        </is>
      </c>
      <c r="E113" s="29" t="inlineStr">
        <is>
          <t>评估-执行-反馈-再调整</t>
        </is>
      </c>
      <c r="F113" s="29" t="inlineStr">
        <is>
          <t>触发：项目打卡/感受反馈/情绪与健康数据更新/客人对话调整。输入：反馈数据+当前疗程。处理：管家汇总各来源反馈并触发疗程再评估（相关领域智能体参与），生成调整方案。输出：新方案进入展示与审核流转，调整说明引用反馈依据。异常：反馈不足时维持原方案。来源：六·闭环特色、5.1.4、5.1.6、5.1.7；验收：完成项目并录入反馈后，下一次方案调整可引用相关记录并生成可查看的新安排。</t>
        </is>
      </c>
      <c r="G113" s="30" t="inlineStr">
        <is>
          <t>×</t>
        </is>
      </c>
      <c r="H113" s="30" t="inlineStr">
        <is>
          <t>×</t>
        </is>
      </c>
      <c r="I113" s="30" t="inlineStr">
        <is>
          <t>×</t>
        </is>
      </c>
      <c r="J113" s="30" t="inlineStr">
        <is>
          <t>高颢宸</t>
        </is>
      </c>
      <c r="K113" s="30" t="inlineStr">
        <is>
          <t>高颢宸</t>
        </is>
      </c>
    </row>
    <row r="114" ht="47.5" customHeight="1" s="19">
      <c r="B114" s="30" t="n">
        <v>109</v>
      </c>
      <c r="C114" s="29" t="n"/>
      <c r="D114" s="29" t="inlineStr">
        <is>
          <t>闭环逻辑</t>
        </is>
      </c>
      <c r="E114" s="29" t="inlineStr">
        <is>
          <t>变更方案审核一致性</t>
        </is>
      </c>
      <c r="F114" s="29" t="inlineStr">
        <is>
          <t>处理规格：对话、健康数据或医护驳回触发的任何方案变更，均按客人档案重走禁忌校验与分级审核（无慢病→生效+抽检；有→强制审核），与首版方案同一规则；全部变更在审核历史可追溯。来源：5.1.2、5.1.7、5.2.1；验收：慢病或禁忌客人的调整方案未经医护通过不能生效。</t>
        </is>
      </c>
      <c r="G114" s="30" t="inlineStr">
        <is>
          <t>×</t>
        </is>
      </c>
      <c r="H114" s="30" t="inlineStr">
        <is>
          <t>×</t>
        </is>
      </c>
      <c r="I114" s="30" t="inlineStr">
        <is>
          <t>×</t>
        </is>
      </c>
      <c r="J114" s="30" t="inlineStr">
        <is>
          <t>高颢宸</t>
        </is>
      </c>
      <c r="K114" s="30" t="inlineStr">
        <is>
          <t>高颢宸</t>
        </is>
      </c>
    </row>
    <row r="116">
      <c r="B116" s="32" t="inlineStr">
        <is>
          <t>○：完成（通过评审或测试）　　△：进行中　　×：未着手　　N/A：不适用（没有此项活动）</t>
        </is>
      </c>
    </row>
    <row r="117">
      <c r="B117" s="32" t="inlineStr">
        <is>
          <t>注：图1～图10为原型图占位页（各图界面清单见图内说明），待9-11原型评审定稿后嵌入图片，并按「图N·图标M」与本表逐行校正编号。</t>
        </is>
      </c>
    </row>
  </sheetData>
  <mergeCells count="11">
    <mergeCell ref="B1:K1"/>
    <mergeCell ref="B4:B5"/>
    <mergeCell ref="B2:F2"/>
    <mergeCell ref="F4:F5"/>
    <mergeCell ref="G2:K2"/>
    <mergeCell ref="J4:J5"/>
    <mergeCell ref="K4:K5"/>
    <mergeCell ref="B116:K116"/>
    <mergeCell ref="G4:I4"/>
    <mergeCell ref="B117:K117"/>
    <mergeCell ref="B3:K3"/>
  </mergeCells>
  <conditionalFormatting sqref="G6:I72">
    <cfRule type="containsText" priority="1" operator="between" dxfId="0" text="待确认">
      <formula>NOT(ISERROR(SEARCH("待确认",G6)))</formula>
    </cfRule>
    <cfRule type="cellIs" priority="2" operator="equal" dxfId="1">
      <formula>"○"</formula>
    </cfRule>
    <cfRule type="cellIs" priority="3" operator="equal" dxfId="2">
      <formula>"△"</formula>
    </cfRule>
    <cfRule type="cellIs" priority="4" operator="equal" dxfId="3">
      <formula>"×"</formula>
    </cfRule>
  </conditionalFormatting>
  <dataValidations count="1">
    <dataValidation sqref="G6:I72" showDropDown="0" showInputMessage="0" showErrorMessage="0" allowBlank="0" type="list">
      <formula1>"待确认,○,△,×,N/A"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图1：客人端·登录/注册页（原型占位）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登录视图：品牌标题、手机号/密码输入、登录按钮</t>
        </is>
      </c>
    </row>
    <row r="6">
      <c r="A6" s="36" t="inlineStr">
        <is>
          <t>2. 注册视图：标题、姓名/手机号/密码/确认密码输入、注册按钮、返回登录链接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图2：客人端·健康档案页（原型占位）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在住信息栏、慢病史与用药、过敏源与忌口、行动能力与睡眠输入区</t>
        </is>
      </c>
    </row>
    <row r="6">
      <c r="A6" s="36" t="inlineStr">
        <is>
          <t>2. 保存按钮、变更记录区、完整度提示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图3：客人端·康养管家对话页（原型占位）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标题栏、消息流（含嵌入卡片）、输入区与快捷指令、思考中状态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图4：客人端·疗程卡片与日程时间线页（原型占位）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疗程总览卡片（三时段项目块+膳食+禁忌说明）、依据入口</t>
        </is>
      </c>
    </row>
    <row r="6">
      <c r="A6" s="36" t="inlineStr">
        <is>
          <t>2. 当日时间线、全疗程切换、到点提醒、打卡与反馈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图5：客人端·项目库列表+项目详情页（原型占位）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项目库：标题分类Tab、卡片列表、搜索框</t>
        </is>
      </c>
    </row>
    <row r="6">
      <c r="A6" s="36" t="inlineStr">
        <is>
          <t>2. 详情：信息区、潮汐海况状态条、时段网格（含置灰）、预约按钮、我的预约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图6：客人端·每日简报页（原型占位）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简报头部、今日安排卡、天气潮汐卡、健康提醒卡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图7：客人端·膳食营养页（原型占位）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标题与日期切换、三餐推荐卡、换菜按钮、点餐按钮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图8：客人端·心理陪伴+健康数据页（原型占位）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陪伴：入口与心情选择、对话区、冥想课程、环境音播放器、心情打卡、情绪趋势</t>
        </is>
      </c>
    </row>
    <row r="6">
      <c r="A6" s="36" t="inlineStr">
        <is>
          <t>2. 数据：指标录入、趋势图、记录列表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图9：机构端·医护审核台（原型占位）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审核队列：统计卡、筛选、任务行</t>
        </is>
      </c>
    </row>
    <row r="6">
      <c r="A6" s="36" t="inlineStr">
        <is>
          <t>2. 审核详情：疗程总览修改区、生成依据区、操作区</t>
        </is>
      </c>
    </row>
    <row r="7">
      <c r="A7" s="36" t="inlineStr">
        <is>
          <t>3. 规则页：禁忌规则列表；审核记录查询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33" t="inlineStr">
        <is>
          <t>图10：机构端·基础管理（原型占位）</t>
        </is>
      </c>
    </row>
    <row r="2">
      <c r="A2" s="34" t="inlineStr">
        <is>
          <t>待9-11原型评审定稿后嵌入原型图；嵌入后按「图N·图标M」编号与「设计用RTM」逐行校正。</t>
        </is>
      </c>
    </row>
    <row r="4">
      <c r="A4" s="35" t="inlineStr">
        <is>
          <t>本图包含界面/区块：</t>
        </is>
      </c>
    </row>
    <row r="5">
      <c r="A5" s="36" t="inlineStr">
        <is>
          <t>1. 客户列表与档案查看、项目排期总览、预约双视角与异常处理</t>
        </is>
      </c>
    </row>
    <row r="6">
      <c r="A6" s="36" t="inlineStr">
        <is>
          <t>2. 员工账号与权限矩阵、服务人员每日安排、备餐单、员工登录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2026-09-08T08:49:34Z</dcterms:created>
  <dcterms:modified xsi:type="dcterms:W3CDTF">2026-09-11T01:09:50Z</dcterms:modified>
  <cp:lastModifiedBy>望山重。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3F0DE0AE20D05FE5EE5B9F6AEFDC6C0F_42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